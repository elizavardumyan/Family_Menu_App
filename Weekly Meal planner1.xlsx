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queryTables/queryTable2.xml" ContentType="application/vnd.openxmlformats-officedocument.spreadsheetml.queryTable+xml"/>
  <Override PartName="/xl/tables/table12.xml" ContentType="application/vnd.openxmlformats-officedocument.spreadsheetml.table+xml"/>
  <Override PartName="/xl/queryTables/queryTable3.xml" ContentType="application/vnd.openxmlformats-officedocument.spreadsheetml.queryTable+xml"/>
  <Override PartName="/xl/tables/table13.xml" ContentType="application/vnd.openxmlformats-officedocument.spreadsheetml.table+xml"/>
  <Override PartName="/xl/queryTables/queryTable4.xml" ContentType="application/vnd.openxmlformats-officedocument.spreadsheetml.queryTable+xml"/>
  <Override PartName="/xl/tables/table14.xml" ContentType="application/vnd.openxmlformats-officedocument.spreadsheetml.table+xml"/>
  <Override PartName="/xl/queryTables/queryTable5.xml" ContentType="application/vnd.openxmlformats-officedocument.spreadsheetml.queryTable+xml"/>
  <Override PartName="/xl/tables/table15.xml" ContentType="application/vnd.openxmlformats-officedocument.spreadsheetml.table+xml"/>
  <Override PartName="/xl/queryTables/queryTable6.xml" ContentType="application/vnd.openxmlformats-officedocument.spreadsheetml.queryTable+xml"/>
  <Override PartName="/xl/tables/table16.xml" ContentType="application/vnd.openxmlformats-officedocument.spreadsheetml.table+xml"/>
  <Override PartName="/xl/queryTables/queryTable7.xml" ContentType="application/vnd.openxmlformats-officedocument.spreadsheetml.queryTable+xml"/>
  <Override PartName="/xl/tables/table17.xml" ContentType="application/vnd.openxmlformats-officedocument.spreadsheetml.table+xml"/>
  <Override PartName="/xl/queryTables/queryTable8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/>
  <xr:revisionPtr revIDLastSave="2820" documentId="13_ncr:1_{A7979CF9-5F6F-48D4-8E4E-814B9BED65C9}" xr6:coauthVersionLast="47" xr6:coauthVersionMax="47" xr10:uidLastSave="{7D56318E-2B51-4ACA-9DEE-8D9D965237BF}"/>
  <bookViews>
    <workbookView xWindow="-108" yWindow="-108" windowWidth="23256" windowHeight="12456" tabRatio="749" firstSheet="1" activeTab="5" xr2:uid="{00000000-000D-0000-FFFF-FFFF00000000}"/>
  </bookViews>
  <sheets>
    <sheet name="Կայքի պարունակություն " sheetId="3" r:id="rId1"/>
    <sheet name="Weekly Meal Planner" sheetId="2" r:id="rId2"/>
    <sheet name="Անհրաժեշտ բաղադրիչների ցանկ և գ" sheetId="20" r:id="rId3"/>
    <sheet name="Կոմբո" sheetId="18" r:id="rId4"/>
    <sheet name="Գներ" sheetId="17" r:id="rId5"/>
    <sheet name="ուտեստների_բաղադրություն" sheetId="4" r:id="rId6"/>
    <sheet name="ցանկ" sheetId="7" r:id="rId7"/>
    <sheet name="Sheet1" sheetId="21" r:id="rId8"/>
    <sheet name="Sheet3" sheetId="23" r:id="rId9"/>
  </sheets>
  <definedNames>
    <definedName name="ExternalData_1" localSheetId="7" hidden="1">Sheet1!$A$1:$F$59</definedName>
    <definedName name="ExternalData_1" localSheetId="2" hidden="1">'Անհրաժեշտ բաղադրիչների ցանկ և գ'!$A$1:$F$59</definedName>
    <definedName name="ExternalData_1" localSheetId="6" hidden="1">ցանկ!$A$1:$A$12</definedName>
    <definedName name="ExternalData_2" localSheetId="6" hidden="1">ցանկ!$C$1:$C$16</definedName>
    <definedName name="ExternalData_3" localSheetId="6" hidden="1">ցանկ!$E$1:$E$9</definedName>
    <definedName name="ExternalData_4" localSheetId="6" hidden="1">ցանկ!$G$1:$G$13</definedName>
    <definedName name="ExternalData_5" localSheetId="6" hidden="1">ցանկ!$I$1:$I$59</definedName>
    <definedName name="ExternalData_6" localSheetId="6" hidden="1">ցանկ!$K$1:$K$13</definedName>
    <definedName name="_xlnm.Print_Titles" localSheetId="1">'Weekly Meal Planner'!$2:$4</definedName>
    <definedName name="Title1">WeeklyMealPlanner[[#Headers],[Շաբաթվա օր]]</definedName>
  </definedNames>
  <calcPr calcId="191029" iterateDelta="9.9999999999999998E-17"/>
  <webPublishing codePage="1252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23" l="1"/>
  <c r="F60" i="21"/>
  <c r="F60" i="20"/>
  <c r="M5" i="2" s="1"/>
  <c r="E33" i="4"/>
  <c r="E32" i="4"/>
  <c r="E31" i="4"/>
  <c r="E30" i="4"/>
  <c r="E29" i="4"/>
  <c r="G8" i="18"/>
  <c r="G7" i="18"/>
  <c r="G6" i="18"/>
  <c r="G5" i="18"/>
  <c r="G4" i="18"/>
  <c r="E21" i="4"/>
  <c r="E19" i="4"/>
  <c r="E20" i="4"/>
  <c r="E18" i="4"/>
  <c r="E17" i="4"/>
  <c r="T26" i="4"/>
  <c r="T23" i="4"/>
  <c r="T29" i="4"/>
  <c r="T14" i="4"/>
  <c r="E65" i="17"/>
  <c r="J8" i="4"/>
  <c r="J6" i="4"/>
  <c r="J7" i="4"/>
  <c r="G3" i="18"/>
  <c r="L6" i="17"/>
  <c r="L4" i="17"/>
  <c r="L5" i="17"/>
  <c r="L13" i="17"/>
  <c r="L14" i="17"/>
  <c r="L7" i="17"/>
  <c r="L16" i="17"/>
  <c r="L17" i="17"/>
  <c r="L11" i="17"/>
  <c r="L12" i="17"/>
  <c r="L15" i="17"/>
  <c r="L8" i="17"/>
  <c r="L9" i="17"/>
  <c r="L3" i="17"/>
  <c r="B5" i="23"/>
  <c r="B13" i="23"/>
  <c r="B11" i="23"/>
  <c r="B6" i="23"/>
  <c r="B14" i="23"/>
  <c r="B7" i="23"/>
  <c r="B12" i="23"/>
  <c r="C5" i="23"/>
  <c r="C13" i="23"/>
  <c r="C6" i="23"/>
  <c r="C10" i="23"/>
  <c r="C11" i="23"/>
  <c r="C12" i="23"/>
  <c r="C7" i="23"/>
  <c r="C4" i="23"/>
  <c r="B4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A8D9DA-5313-4C35-8CF3-1939584120BF}" keepAlive="1" name="Query - Աղցան" description="Connection to the 'Աղցան' query in the workbook." type="5" refreshedVersion="0" background="1">
    <dbPr connection="Provider=Microsoft.Mashup.OleDb.1;Data Source=$Workbook$;Location=Աղցան;Extended Properties=&quot;&quot;" command="SELECT * FROM [Աղցան]"/>
  </connection>
  <connection id="2" xr16:uid="{12F00DF6-D3F9-4BEA-BADA-86AFE40BB6B6}" keepAlive="1" name="Query - Աղցան_բաղադրություն" description="Connection to the 'Աղցան_բաղադրություն' query in the workbook." type="5" refreshedVersion="0" background="1">
    <dbPr connection="Provider=Microsoft.Mashup.OleDb.1;Data Source=$Workbook$;Location=Աղցան_բաղադրություն;Extended Properties=&quot;&quot;" command="SELECT * FROM [Աղցան_բաղադրություն]"/>
  </connection>
  <connection id="3" xr16:uid="{EF620DD0-CC9A-4ECB-A986-BF791612A94A}" keepAlive="1" name="Query - Աղցան_ցանկ" description="Connection to the 'Աղցան_ցանկ' query in the workbook." type="5" refreshedVersion="8" background="1" saveData="1">
    <dbPr connection="Provider=Microsoft.Mashup.OleDb.1;Data Source=$Workbook$;Location=Աղցան_ցանկ;Extended Properties=&quot;&quot;" command="SELECT * FROM [Աղցան_ցանկ]"/>
  </connection>
  <connection id="4" xr16:uid="{413543DF-AEE5-46C1-89BC-5C0A0AA6559D}" keepAlive="1" name="Query - Ամբողջական բաղադրություն ցանկ" description="Connection to the 'Ամբողջական բաղադրություն ցանկ' query in the workbook." type="5" refreshedVersion="0" background="1">
    <dbPr connection="Provider=Microsoft.Mashup.OleDb.1;Data Source=$Workbook$;Location=&quot;Ամբողջական բաղադրություն ցանկ&quot;;Extended Properties=&quot;&quot;" command="SELECT * FROM [Ամբողջական բաղադրություն ցանկ]"/>
  </connection>
  <connection id="5" xr16:uid="{30DE8CE4-EF89-4948-AB1C-D7833803E19E}" keepAlive="1" name="Query - Ամբողջական ցանկ" description="Connection to the 'Ամբողջական ցանկ' query in the workbook." type="5" refreshedVersion="8" background="1" saveData="1">
    <dbPr connection="Provider=Microsoft.Mashup.OleDb.1;Data Source=$Workbook$;Location=&quot;Ամբողջական ցանկ&quot;;Extended Properties=&quot;&quot;" command="SELECT * FROM [Ամբողջական ցանկ]"/>
  </connection>
  <connection id="6" xr16:uid="{ABC7218C-7FAF-4733-95F0-CF32010F30E6}" keepAlive="1" name="Query - Անհրաժեշտ բաղադրիչների ցանկ և գներ" description="Connection to the 'Անհրաժեշտ բաղադրիչների ցանկ և գներ' query in the workbook." type="5" refreshedVersion="8" background="1" saveData="1">
    <dbPr connection="Provider=Microsoft.Mashup.OleDb.1;Data Source=$Workbook$;Location=&quot;Անհրաժեշտ բաղադրիչների ցանկ և գներ&quot;;Extended Properties=&quot;&quot;" command="SELECT * FROM [Անհրաժեշտ բաղադրիչների ցանկ և գներ]"/>
  </connection>
  <connection id="7" xr16:uid="{BC36C970-F33E-4C2A-9B1F-9516B18EA1D5}" keepAlive="1" name="Query - Անհրաժեշտ բաղադրիչների ցանկ և գներ (2)" description="Connection to the 'Անհրաժեշտ բաղադրիչների ցանկ և գներ (2)' query in the workbook." type="5" refreshedVersion="8" background="1" saveData="1">
    <dbPr connection="Provider=Microsoft.Mashup.OleDb.1;Data Source=$Workbook$;Location=&quot;Անհրաժեշտ բաղադրիչների ցանկ և գներ (2)&quot;;Extended Properties=&quot;&quot;" command="SELECT * FROM [Անհրաժեշտ բաղադրիչների ցանկ և գներ (2)]"/>
  </connection>
  <connection id="8" xr16:uid="{7F19E1B8-27ED-4F04-BB56-5EDCBCA0FC00}" keepAlive="1" name="Query - Գներ" description="Connection to the 'Գներ' query in the workbook." type="5" refreshedVersion="0" background="1" saveData="1">
    <dbPr connection="Provider=Microsoft.Mashup.OleDb.1;Data Source=$Workbook$;Location=Գներ;Extended Properties=&quot;&quot;" command="SELECT * FROM [Գներ]"/>
  </connection>
  <connection id="9" xr16:uid="{D8EDB39F-F80B-4B45-A11E-A2533C93CF4C}" keepAlive="1" name="Query - Ընդմիջում" description="Connection to the 'Ընդմիջում' query in the workbook." type="5" refreshedVersion="0" background="1">
    <dbPr connection="Provider=Microsoft.Mashup.OleDb.1;Data Source=$Workbook$;Location=Ընդմիջում;Extended Properties=&quot;&quot;" command="SELECT * FROM [Ընդմիջում]"/>
  </connection>
  <connection id="10" xr16:uid="{CB7359EB-063D-4539-AC6C-BAE85E11B77D}" keepAlive="1" name="Query - Ընդմիջում_բաղադրություն" description="Connection to the 'Ընդմիջում_բաղադրություն' query in the workbook." type="5" refreshedVersion="0" background="1">
    <dbPr connection="Provider=Microsoft.Mashup.OleDb.1;Data Source=$Workbook$;Location=Ընդմիջում_բաղադրություն;Extended Properties=&quot;&quot;" command="SELECT * FROM [Ընդմիջում_բաղադրություն]"/>
  </connection>
  <connection id="11" xr16:uid="{12A067BA-0A83-40FE-A2BB-6F5A562E973E}" keepAlive="1" name="Query - Ընդմիջում_ցանկ" description="Connection to the 'Ընդմիջում_ցանկ' query in the workbook." type="5" refreshedVersion="8" background="1" saveData="1">
    <dbPr connection="Provider=Microsoft.Mashup.OleDb.1;Data Source=$Workbook$;Location=Ընդմիջում_ցանկ;Extended Properties=&quot;&quot;" command="SELECT * FROM [Ընդմիջում_ցանկ]"/>
  </connection>
  <connection id="12" xr16:uid="{17A7E963-FB37-4C7F-9673-72754F087A98}" keepAlive="1" name="Query - Հիմնական_ուտեստի_լրացում_սոուս" description="Connection to the 'Հիմնական_ուտեստի_լրացում_սոուս' query in the workbook." type="5" refreshedVersion="0" background="1" saveData="1">
    <dbPr connection="Provider=Microsoft.Mashup.OleDb.1;Data Source=$Workbook$;Location=Հիմնական_ուտեստի_լրացում_սոուս;Extended Properties=&quot;&quot;" command="SELECT * FROM [Հիմնական_ուտեստի_լրացում_սոուս]"/>
  </connection>
  <connection id="13" xr16:uid="{A2DF875D-C0EA-4F14-A54D-9B4C151806FA}" keepAlive="1" name="Query - Հիմնական_ուտեստի_լրացում_սոուս_բաղադրություն" description="Connection to the 'Հիմնական_ուտեստի_լրացում_սոուս_բաղադրություն' query in the workbook." type="5" refreshedVersion="0" background="1" saveData="1">
    <dbPr connection="Provider=Microsoft.Mashup.OleDb.1;Data Source=$Workbook$;Location=Հիմնական_ուտեստի_լրացում_սոուս_բաղադրություն;Extended Properties=&quot;&quot;" command="SELECT * FROM [Հիմնական_ուտեստի_լրացում_սոուս_բաղադրություն]"/>
  </connection>
  <connection id="14" xr16:uid="{CDC62C0D-8B17-4DB5-8ED0-75D8C5396122}" keepAlive="1" name="Query - ճաշ_ընթրիք" description="Connection to the 'ճաշ_ընթրիք' query in the workbook." type="5" refreshedVersion="0" background="1" saveData="1">
    <dbPr connection="Provider=Microsoft.Mashup.OleDb.1;Data Source=$Workbook$;Location=ճաշ_ընթրիք;Extended Properties=&quot;&quot;" command="SELECT * FROM [ճաշ_ընթրիք]"/>
  </connection>
  <connection id="15" xr16:uid="{B57F04C3-7A05-4E6E-B026-05D27639BBAD}" keepAlive="1" name="Query - ճաշ_ընթրիք_բաղադրություն" description="Connection to the 'ճաշ_ընթրիք_բաղադրություն' query in the workbook." type="5" refreshedVersion="0" background="1" saveData="1">
    <dbPr connection="Provider=Microsoft.Mashup.OleDb.1;Data Source=$Workbook$;Location=ճաշ_ընթրիք_բաղադրություն;Extended Properties=&quot;&quot;" command="SELECT * FROM [ճաշ_ընթրիք_բաղադրություն]"/>
  </connection>
  <connection id="16" xr16:uid="{EFF0D3A9-0DC2-4D93-822F-C36ABF22E631}" keepAlive="1" name="Query - ճաշ_ընթրիք_ցանկ" description="Connection to the 'ճաշ_ընթրիք_ցանկ' query in the workbook." type="5" refreshedVersion="8" background="1" saveData="1">
    <dbPr connection="Provider=Microsoft.Mashup.OleDb.1;Data Source=$Workbook$;Location=ճաշ_ընթրիք_ցանկ;Extended Properties=&quot;&quot;" command="SELECT * FROM [ճաշ_ընթրիք_ցանկ]"/>
  </connection>
  <connection id="17" xr16:uid="{660C4A66-845F-452B-AE93-A1EB5AC3C5D9}" keepAlive="1" name="Query - նախաճաշ" description="Connection to the 'նախաճաշ' query in the workbook." type="5" refreshedVersion="0" background="1" saveData="1">
    <dbPr connection="Provider=Microsoft.Mashup.OleDb.1;Data Source=$Workbook$;Location=նախաճաշ;Extended Properties=&quot;&quot;" command="SELECT * FROM [նախաճաշ]"/>
  </connection>
  <connection id="18" xr16:uid="{4CA3D28A-C5AE-4859-919F-062E84EC3797}" keepAlive="1" name="Query - նախաճաշ_բաղադրություն" description="Connection to the 'նախաճաշ_բաղադրություն' query in the workbook." type="5" refreshedVersion="8" background="1" saveData="1">
    <dbPr connection="Provider=Microsoft.Mashup.OleDb.1;Data Source=$Workbook$;Location=նախաճաշ_բաղադրություն;Extended Properties=&quot;&quot;" command="SELECT * FROM [նախաճաշ_բաղադրություն]"/>
  </connection>
  <connection id="19" xr16:uid="{64654E0A-623E-40FC-AA59-B334F6511268}" keepAlive="1" name="Query - նախաճաշ_ցանկ" description="Connection to the 'նախաճաշ_ցանկ' query in the workbook." type="5" refreshedVersion="8" background="1" saveData="1">
    <dbPr connection="Provider=Microsoft.Mashup.OleDb.1;Data Source=$Workbook$;Location=նախաճաշ_ցանկ;Extended Properties=&quot;&quot;" command="SELECT * FROM [նախաճաշ_ցանկ]"/>
  </connection>
  <connection id="20" xr16:uid="{29C002CE-515C-4DF5-B3A3-312069CAA85B}" keepAlive="1" name="Query - Ցանկ_Հիմնական_ուտեստի_լրացում_սոուս_ցանկ" description="Connection to the 'Ցանկ_Հիմնական_ուտեստի_լրացում_սոուս_ցանկ' query in the workbook." type="5" refreshedVersion="8" background="1" saveData="1">
    <dbPr connection="Provider=Microsoft.Mashup.OleDb.1;Data Source=$Workbook$;Location=Ցանկ_Հիմնական_ուտեստի_լրացում_սոուս_ցանկ;Extended Properties=&quot;&quot;" command="SELECT * FROM [Ցանկ_Հիմնական_ուտեստի_լրացում_սոուս_ցանկ]"/>
  </connection>
</connections>
</file>

<file path=xl/sharedStrings.xml><?xml version="1.0" encoding="utf-8"?>
<sst xmlns="http://schemas.openxmlformats.org/spreadsheetml/2006/main" count="1351" uniqueCount="240">
  <si>
    <t>WEEKLY</t>
  </si>
  <si>
    <t xml:space="preserve">DATE: </t>
  </si>
  <si>
    <t>Meal Planner for family of 6</t>
  </si>
  <si>
    <t>Երկուշաբթի</t>
  </si>
  <si>
    <t>Երեքշաբթի</t>
  </si>
  <si>
    <t>Չորեքշաբթի</t>
  </si>
  <si>
    <t>Հինգշաբթի</t>
  </si>
  <si>
    <t>Ուրբաթ</t>
  </si>
  <si>
    <t>Շաբաթ</t>
  </si>
  <si>
    <t>Կիրակի</t>
  </si>
  <si>
    <t>Շաբաթվա օր</t>
  </si>
  <si>
    <t>Ճաշ 14։00</t>
  </si>
  <si>
    <t>Նախաճաշ 08։00</t>
  </si>
  <si>
    <t>ընդմիջում 11։00</t>
  </si>
  <si>
    <t>Հետճաշիկ 16։00</t>
  </si>
  <si>
    <t>Ընթրիք 19։30</t>
  </si>
  <si>
    <t>ուտեստների ցանկ՝ բաղադրատոմսով և  նկարներով։ Հետագայում նաև insta կամ այլ հղսումով</t>
  </si>
  <si>
    <t>Պելմենի</t>
  </si>
  <si>
    <t>միս</t>
  </si>
  <si>
    <t>Անհրաժեշտ բաղադրիչի քանակ</t>
  </si>
  <si>
    <t>Անհրաժեշտ բաղադրիչի անվանում</t>
  </si>
  <si>
    <t>Անհրաժեշտ բաղադրիչի չափման միավոր</t>
  </si>
  <si>
    <t>կգ</t>
  </si>
  <si>
    <t>ալյուր</t>
  </si>
  <si>
    <t>հատ</t>
  </si>
  <si>
    <t>ճ․գ․</t>
  </si>
  <si>
    <t>աղ</t>
  </si>
  <si>
    <t>շաքարավազ</t>
  </si>
  <si>
    <t>ջուր</t>
  </si>
  <si>
    <t>մլ</t>
  </si>
  <si>
    <t>Գազարով, մսով, կանաչ լոբով սոուս</t>
  </si>
  <si>
    <t>կանաչ լոբի սառեցրած</t>
  </si>
  <si>
    <t>տոմատ</t>
  </si>
  <si>
    <t>Բրնձով ուզբեկական փլավ</t>
  </si>
  <si>
    <t>բրինձ</t>
  </si>
  <si>
    <t>գազար</t>
  </si>
  <si>
    <t>սոխ</t>
  </si>
  <si>
    <t>սխտոր</t>
  </si>
  <si>
    <t>ատամիկ</t>
  </si>
  <si>
    <t>հավի միս</t>
  </si>
  <si>
    <t>վերմիշել</t>
  </si>
  <si>
    <t>հավով, բրնձով ապուր</t>
  </si>
  <si>
    <t>Բանջարեղենը ջեռոցում</t>
  </si>
  <si>
    <t>կարտոֆիլ</t>
  </si>
  <si>
    <t>բրոկոլի</t>
  </si>
  <si>
    <t>ծաղկակաղամբ</t>
  </si>
  <si>
    <t>Թթթվասերային սոուս</t>
  </si>
  <si>
    <t>թթվասեր</t>
  </si>
  <si>
    <t>բուսական յուղ</t>
  </si>
  <si>
    <t>կիտրոն</t>
  </si>
  <si>
    <t>կաղամբով աղցան</t>
  </si>
  <si>
    <t>կաղամբ</t>
  </si>
  <si>
    <t>կանաչի</t>
  </si>
  <si>
    <t>կապ</t>
  </si>
  <si>
    <t>Բազուկով աղցան</t>
  </si>
  <si>
    <t>բազուկ</t>
  </si>
  <si>
    <t>ընկույզ</t>
  </si>
  <si>
    <t>նուռ</t>
  </si>
  <si>
    <t>Աղցան ցեզար</t>
  </si>
  <si>
    <t>հաց բատոն</t>
  </si>
  <si>
    <t>լոլիկ չերի</t>
  </si>
  <si>
    <t>հազար</t>
  </si>
  <si>
    <t>պանիր չեդեր</t>
  </si>
  <si>
    <t>պիցցա</t>
  </si>
  <si>
    <t>երշիկ բժշկական</t>
  </si>
  <si>
    <t>սունկ</t>
  </si>
  <si>
    <t>երշիկ իսպանական</t>
  </si>
  <si>
    <t>տուփ</t>
  </si>
  <si>
    <t>ձիթապտուղ կտրատած</t>
  </si>
  <si>
    <t>լոլիկ</t>
  </si>
  <si>
    <t>պանիր լոռի</t>
  </si>
  <si>
    <t>աջարական խաչապուրի</t>
  </si>
  <si>
    <t>խաշած ձու</t>
  </si>
  <si>
    <t>պանիր չանախ</t>
  </si>
  <si>
    <t>կարագ</t>
  </si>
  <si>
    <t>լավաշ</t>
  </si>
  <si>
    <t>թթվասեր+կաթնաշոռ</t>
  </si>
  <si>
    <t>կաթնաշոռ</t>
  </si>
  <si>
    <t>վարսակ</t>
  </si>
  <si>
    <t>ձուկ</t>
  </si>
  <si>
    <t>իշխան</t>
  </si>
  <si>
    <t>սիսեռով ապուր</t>
  </si>
  <si>
    <t>սիսեռ</t>
  </si>
  <si>
    <t>կարմիր ոսպ</t>
  </si>
  <si>
    <t>կաթ</t>
  </si>
  <si>
    <t>լ</t>
  </si>
  <si>
    <t>փանքեյք</t>
  </si>
  <si>
    <t>սպագետի մսով ու պանրով</t>
  </si>
  <si>
    <t>սպագետի սնկով ու պանրով</t>
  </si>
  <si>
    <t>հումուս</t>
  </si>
  <si>
    <t>կարտոֆիլով, մսով սոուս</t>
  </si>
  <si>
    <t>Նախաճաշ</t>
  </si>
  <si>
    <t>Ճաշ, ընթրիք</t>
  </si>
  <si>
    <t>Աղցան</t>
  </si>
  <si>
    <t>Հիմնական ուտեստի լրացում, սոուս</t>
  </si>
  <si>
    <t>հավով, գազարով, եգիպտացորենով աղցան</t>
  </si>
  <si>
    <t>տապակած հավի բդիկ</t>
  </si>
  <si>
    <t>կարտոֆիլի ժարիտ</t>
  </si>
  <si>
    <t>սպաս</t>
  </si>
  <si>
    <t>բրուսկետ</t>
  </si>
  <si>
    <t>հացով ձվածեղ</t>
  </si>
  <si>
    <t>եգիտպացորեն</t>
  </si>
  <si>
    <t xml:space="preserve">սիսեռ </t>
  </si>
  <si>
    <t>դդմիկով կոտլետ</t>
  </si>
  <si>
    <t>հավով կոտլետ</t>
  </si>
  <si>
    <t>հավով նրբերշիկ</t>
  </si>
  <si>
    <t>հավ ամբողջական</t>
  </si>
  <si>
    <t>ձու հավի</t>
  </si>
  <si>
    <t>սոուս ցեզար</t>
  </si>
  <si>
    <t xml:space="preserve">պանիր լոռի </t>
  </si>
  <si>
    <t>պանի չանախ</t>
  </si>
  <si>
    <t>մածուն</t>
  </si>
  <si>
    <t>խնձոր</t>
  </si>
  <si>
    <t>նարինջ</t>
  </si>
  <si>
    <t>բանան</t>
  </si>
  <si>
    <t>Ապրանք</t>
  </si>
  <si>
    <t>Քանակ</t>
  </si>
  <si>
    <t xml:space="preserve">գաթա </t>
  </si>
  <si>
    <t>պասուց դոլմա</t>
  </si>
  <si>
    <t>հաց բագետ</t>
  </si>
  <si>
    <t>կոնֆետ</t>
  </si>
  <si>
    <t>կիվի</t>
  </si>
  <si>
    <t>սուրճ արաբիկա</t>
  </si>
  <si>
    <t>սուրճ ռոբուստա</t>
  </si>
  <si>
    <t xml:space="preserve">մակարոն </t>
  </si>
  <si>
    <t>հաց բորոդինյան</t>
  </si>
  <si>
    <t>շոկոլադե գնդիկներ</t>
  </si>
  <si>
    <t>Գին</t>
  </si>
  <si>
    <t>չափման միավոր</t>
  </si>
  <si>
    <t>Ընդմիջում 1</t>
  </si>
  <si>
    <t>Ամբողջական ցանկ</t>
  </si>
  <si>
    <t>Ընդմիջում</t>
  </si>
  <si>
    <t>պանրով բուտերբրոդ</t>
  </si>
  <si>
    <t>թխվածք</t>
  </si>
  <si>
    <t>Կոմբո</t>
  </si>
  <si>
    <t>Բաղադրիչ 1</t>
  </si>
  <si>
    <t>Բաղադրիչ 2</t>
  </si>
  <si>
    <t>Բաղադրիչ 3</t>
  </si>
  <si>
    <t>Բաղադրիչ 4</t>
  </si>
  <si>
    <t>Բաղադրիչ 5</t>
  </si>
  <si>
    <t>սնկով ձվածեղ</t>
  </si>
  <si>
    <t>աջարականի խմոր</t>
  </si>
  <si>
    <t>հաց</t>
  </si>
  <si>
    <t>փխրեցուցիչ</t>
  </si>
  <si>
    <t>կորեական աղցան</t>
  </si>
  <si>
    <t>պյուրե</t>
  </si>
  <si>
    <t>սպագետի</t>
  </si>
  <si>
    <t>դդմիկ</t>
  </si>
  <si>
    <t>սպիտակաձավար</t>
  </si>
  <si>
    <t>ավոկադո</t>
  </si>
  <si>
    <t>քաղցր պղպեղ</t>
  </si>
  <si>
    <t>պանիր մոցարելա</t>
  </si>
  <si>
    <t>չիաբատա</t>
  </si>
  <si>
    <t>Խումբ</t>
  </si>
  <si>
    <t>Բանջարեղեն</t>
  </si>
  <si>
    <t>Միրգ</t>
  </si>
  <si>
    <t>Նպարեղեն</t>
  </si>
  <si>
    <t>հացաբուլկեղեն</t>
  </si>
  <si>
    <t>պատրաստի ուտեստներ</t>
  </si>
  <si>
    <t>Միս, ձուկ, հավ</t>
  </si>
  <si>
    <t>Կաթնամթերք, ձու</t>
  </si>
  <si>
    <t>պահածո</t>
  </si>
  <si>
    <t>կենցաղային քիմիա</t>
  </si>
  <si>
    <t>հիգիենա, խնամք</t>
  </si>
  <si>
    <t>կենդանիների համար</t>
  </si>
  <si>
    <t>Կանաչի</t>
  </si>
  <si>
    <t>Երշիկեղեն</t>
  </si>
  <si>
    <t>ընդեղեն</t>
  </si>
  <si>
    <t>Ըմպելիք</t>
  </si>
  <si>
    <t>Անհրաժեշտ բաղադրիչ</t>
  </si>
  <si>
    <t>Չափման միավոր</t>
  </si>
  <si>
    <t>Գումար</t>
  </si>
  <si>
    <t>ձվածեղ</t>
  </si>
  <si>
    <t>բրնձով փլավ</t>
  </si>
  <si>
    <t>պիցցայի խմոր</t>
  </si>
  <si>
    <t>ձավար</t>
  </si>
  <si>
    <t>Անհրաժեշտ գումար</t>
  </si>
  <si>
    <t>Ամառային աղցան</t>
  </si>
  <si>
    <t>վարունգ</t>
  </si>
  <si>
    <t>մսով թխուկ</t>
  </si>
  <si>
    <t>հնդկաձավար</t>
  </si>
  <si>
    <t>բուրգեր</t>
  </si>
  <si>
    <t>հացիկ</t>
  </si>
  <si>
    <t>կոտլետ</t>
  </si>
  <si>
    <t>կետչուպ</t>
  </si>
  <si>
    <t>Ընդմիջում 2</t>
  </si>
  <si>
    <t>սնիկերս մեծ</t>
  </si>
  <si>
    <t>Ընդմիջում 3</t>
  </si>
  <si>
    <t>ռուլետ</t>
  </si>
  <si>
    <t>լավաշով խաչապուրի</t>
  </si>
  <si>
    <t>Ընդմիջում 3 պանրով բուտերբրոդ ռուլետ բանան կոնֆետ լրացված չէ լրացված չէ</t>
  </si>
  <si>
    <t>Ընդմիջում 2 պանրով բուտերբրոդ թխվածք վարունգ կոնֆետ լրացված չէ լրացված չէ</t>
  </si>
  <si>
    <t>կաթով եգիպտացորենի փաթիլներ</t>
  </si>
  <si>
    <t>եգիպտացորենի փաթիլներ</t>
  </si>
  <si>
    <t>երշիկ</t>
  </si>
  <si>
    <t>սիրնիկներ</t>
  </si>
  <si>
    <t>Ընդմիջում 2 պանրով բուտերբրոդ թխվածք վարունգ կոնֆետ</t>
  </si>
  <si>
    <t>Ընդմիջում 3 պանրով բուտերբրոդ ռուլետ բանան կոնֆետ</t>
  </si>
  <si>
    <t>հավի կոտլետ բուտերբրոդ</t>
  </si>
  <si>
    <t>Ընդմիջում 4</t>
  </si>
  <si>
    <t>հավով նրբերշիկով բուտերբրոդ</t>
  </si>
  <si>
    <t>Ընդմիջում 5</t>
  </si>
  <si>
    <t>Ընդմիջում 6</t>
  </si>
  <si>
    <t>Ընդմիջում 4 հավի կոտլետ բուտերբրոդ սիրնիկներ գազար կոնֆետ</t>
  </si>
  <si>
    <t>Ընդմիջում 5 հավով նրբերշիկով բուտերբրոդ թխվածք նարինջ կոնֆետ</t>
  </si>
  <si>
    <t>Ընդմիջում 5 հավով նրբերշիկով բուտերբրոդ թխվածք նարինջ կոնֆետ լրացված չէ լրացված չէ</t>
  </si>
  <si>
    <t>Ընդմիջում 4 հավի կոտլետ բուտերբրոդ սիրնիկներ գազար կոնֆետ լրացված չէ լրացված չէ</t>
  </si>
  <si>
    <t>փանքեյք սեզոնային մրգերով</t>
  </si>
  <si>
    <t>ելակ</t>
  </si>
  <si>
    <t>vegetables</t>
  </si>
  <si>
    <t>fruit</t>
  </si>
  <si>
    <t>grocery</t>
  </si>
  <si>
    <t>bakery</t>
  </si>
  <si>
    <t>greens</t>
  </si>
  <si>
    <t>beverages</t>
  </si>
  <si>
    <t>sausages</t>
  </si>
  <si>
    <t>meat fish chicken</t>
  </si>
  <si>
    <t>dairy eggs</t>
  </si>
  <si>
    <t>ready meals</t>
  </si>
  <si>
    <t>canned food</t>
  </si>
  <si>
    <t>household chemicals</t>
  </si>
  <si>
    <t>hygiene care</t>
  </si>
  <si>
    <t>pet products</t>
  </si>
  <si>
    <t>nuts</t>
  </si>
  <si>
    <t>breakfast</t>
  </si>
  <si>
    <t>lunch</t>
  </si>
  <si>
    <t>dinner</t>
  </si>
  <si>
    <t>salad</t>
  </si>
  <si>
    <t>main_course</t>
  </si>
  <si>
    <t>side_dish</t>
  </si>
  <si>
    <t>soup</t>
  </si>
  <si>
    <t>dessert</t>
  </si>
  <si>
    <t>sauce</t>
  </si>
  <si>
    <t>snack</t>
  </si>
  <si>
    <t>drink</t>
  </si>
  <si>
    <t>напиток</t>
  </si>
  <si>
    <t>основное блюдо:</t>
  </si>
  <si>
    <t>гарнир</t>
  </si>
  <si>
    <t>հիմնական ուտեստ</t>
  </si>
  <si>
    <t>Խավարտ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</si>
</sst>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17" x14ac:knownFonts="1">
    <font>
      <sz val="12"/>
      <name val="Georgia"/>
      <family val="1"/>
      <scheme val="minor"/>
    </font>
    <font>
      <sz val="12"/>
      <color theme="1"/>
      <name val="Georgia"/>
      <family val="2"/>
      <scheme val="minor"/>
    </font>
    <font>
      <sz val="26"/>
      <color theme="1" tint="0.24994659260841701"/>
      <name val="Georgia"/>
      <family val="2"/>
      <scheme val="major"/>
    </font>
    <font>
      <sz val="12"/>
      <name val="Georgia"/>
      <family val="1"/>
      <scheme val="minor"/>
    </font>
    <font>
      <sz val="28"/>
      <color theme="5" tint="0.79998168889431442"/>
      <name val="Georgia"/>
      <family val="2"/>
      <scheme val="minor"/>
    </font>
    <font>
      <sz val="48"/>
      <color theme="6"/>
      <name val="Georgia"/>
      <family val="2"/>
      <scheme val="minor"/>
    </font>
    <font>
      <i/>
      <sz val="18"/>
      <color theme="6"/>
      <name val="Georgia"/>
      <family val="1"/>
      <scheme val="minor"/>
    </font>
    <font>
      <i/>
      <sz val="12"/>
      <color theme="6"/>
      <name val="Georgia"/>
      <family val="1"/>
      <scheme val="minor"/>
    </font>
    <font>
      <sz val="12"/>
      <color theme="6" tint="-0.24994659260841701"/>
      <name val="Georgia"/>
      <family val="2"/>
      <scheme val="minor"/>
    </font>
    <font>
      <sz val="12"/>
      <color theme="0"/>
      <name val="Georgia"/>
      <family val="1"/>
      <scheme val="minor"/>
    </font>
    <font>
      <sz val="12"/>
      <color theme="6" tint="-0.499984740745262"/>
      <name val="Georgia"/>
      <family val="1"/>
      <scheme val="minor"/>
    </font>
    <font>
      <sz val="11"/>
      <name val="Georgia"/>
      <family val="1"/>
      <scheme val="minor"/>
    </font>
    <font>
      <sz val="10"/>
      <name val="Georgia"/>
      <family val="1"/>
      <scheme val="minor"/>
    </font>
    <font>
      <b/>
      <sz val="12"/>
      <color theme="0"/>
      <name val="Georgia"/>
      <family val="1"/>
      <scheme val="minor"/>
    </font>
    <font>
      <sz val="9"/>
      <name val="Georgia"/>
      <family val="1"/>
      <scheme val="minor"/>
    </font>
    <font>
      <sz val="8"/>
      <name val="Georgia"/>
      <family val="1"/>
      <scheme val="minor"/>
    </font>
    <font>
      <sz val="12"/>
      <color theme="1"/>
      <name val="Georgia"/>
      <family val="1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/>
        <bgColor theme="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</borders>
  <cellStyleXfs count="5">
    <xf numFmtId="0" fontId="0" fillId="0" borderId="0">
      <alignment horizontal="left" vertical="center" wrapText="1" indent="1"/>
    </xf>
    <xf numFmtId="0" fontId="2" fillId="0" borderId="0" applyNumberFormat="0" applyFill="0" applyBorder="0" applyProtection="0">
      <alignment horizontal="left" indent="1"/>
    </xf>
    <xf numFmtId="164" fontId="3" fillId="0" borderId="0" applyFont="0" applyFill="0" applyBorder="0">
      <alignment horizontal="left" vertical="center" wrapText="1" indent="1"/>
    </xf>
    <xf numFmtId="0" fontId="4" fillId="0" borderId="1" applyNumberFormat="0" applyFill="0" applyBorder="0" applyAlignment="0" applyProtection="0"/>
    <xf numFmtId="0" fontId="1" fillId="2" borderId="0" applyNumberFormat="0" applyBorder="0" applyAlignment="0" applyProtection="0"/>
  </cellStyleXfs>
  <cellXfs count="19">
    <xf numFmtId="0" fontId="0" fillId="0" borderId="0" xfId="0">
      <alignment horizontal="left" vertical="center" wrapText="1" indent="1"/>
    </xf>
    <xf numFmtId="0" fontId="0" fillId="0" borderId="0" xfId="0" applyAlignment="1">
      <alignment horizontal="right" vertical="top" wrapText="1"/>
    </xf>
    <xf numFmtId="0" fontId="9" fillId="0" borderId="0" xfId="0" applyFont="1">
      <alignment horizontal="left" vertical="center" wrapText="1" indent="1"/>
    </xf>
    <xf numFmtId="0" fontId="10" fillId="0" borderId="0" xfId="0" applyFont="1">
      <alignment horizontal="left" vertical="center" wrapText="1" indent="1"/>
    </xf>
    <xf numFmtId="0" fontId="11" fillId="0" borderId="0" xfId="0" applyFont="1">
      <alignment horizontal="left" vertical="center" wrapText="1" indent="1"/>
    </xf>
    <xf numFmtId="0" fontId="12" fillId="0" borderId="0" xfId="0" applyFont="1">
      <alignment horizontal="left" vertical="center" wrapText="1" indent="1"/>
    </xf>
    <xf numFmtId="0" fontId="14" fillId="0" borderId="0" xfId="0" applyFont="1">
      <alignment horizontal="left" vertical="center" wrapText="1" indent="1"/>
    </xf>
    <xf numFmtId="0" fontId="13" fillId="4" borderId="2" xfId="0" applyFont="1" applyFill="1" applyBorder="1">
      <alignment horizontal="left" vertical="center" wrapText="1" indent="1"/>
    </xf>
    <xf numFmtId="0" fontId="13" fillId="4" borderId="3" xfId="0" applyFont="1" applyFill="1" applyBorder="1">
      <alignment horizontal="left" vertical="center" wrapText="1" indent="1"/>
    </xf>
    <xf numFmtId="0" fontId="15" fillId="0" borderId="0" xfId="0" applyFont="1">
      <alignment horizontal="left" vertical="center" wrapText="1" indent="1"/>
    </xf>
    <xf numFmtId="0" fontId="0" fillId="5" borderId="0" xfId="0" applyFill="1">
      <alignment horizontal="left" vertical="center" wrapText="1" indent="1"/>
    </xf>
    <xf numFmtId="0" fontId="16" fillId="5" borderId="0" xfId="0" applyFont="1" applyFill="1">
      <alignment horizontal="left" vertical="center" wrapText="1" indent="1"/>
    </xf>
    <xf numFmtId="0" fontId="16" fillId="0" borderId="0" xfId="0" applyFont="1">
      <alignment horizontal="left" vertical="center" wrapText="1" indent="1"/>
    </xf>
    <xf numFmtId="0" fontId="0" fillId="6" borderId="0" xfId="0" applyFill="1">
      <alignment horizontal="left" vertical="center" wrapText="1" indent="1"/>
    </xf>
    <xf numFmtId="0" fontId="5" fillId="3" borderId="0" xfId="3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164" fontId="8" fillId="2" borderId="0" xfId="4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20% - Accent2" xfId="4" builtinId="34"/>
    <cellStyle name="Date" xfId="2" xr:uid="{00000000-0005-0000-0000-000000000000}"/>
    <cellStyle name="Heading 1" xfId="3" builtinId="16" customBuiltin="1"/>
    <cellStyle name="Normal" xfId="0" builtinId="0" customBuiltin="1"/>
    <cellStyle name="Title" xfId="1" builtinId="15" customBuiltin="1"/>
  </cellStyles>
  <dxfs count="9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8"/>
        <color auto="1"/>
        <name val="Georgia"/>
        <family val="1"/>
        <scheme val="minor"/>
      </font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ill>
        <patternFill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Georgia"/>
        <family val="1"/>
        <scheme val="minor"/>
      </font>
      <fill>
        <patternFill>
          <fgColor indexed="64"/>
          <bgColor theme="0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alignment horizontal="general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outline val="0"/>
        <shadow val="0"/>
        <u val="none"/>
        <vertAlign val="baseline"/>
        <sz val="12"/>
        <color theme="6" tint="-0.24994659260841701"/>
        <name val="Georgia"/>
        <family val="1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0"/>
        <name val="Georgia"/>
        <family val="1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Georgia"/>
        <family val="1"/>
        <scheme val="minor"/>
      </font>
      <fill>
        <patternFill patternType="solid">
          <fgColor theme="5"/>
          <bgColor theme="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strike val="0"/>
        <outline val="0"/>
        <shadow val="0"/>
        <u val="none"/>
        <vertAlign val="baseline"/>
        <sz val="10"/>
        <color auto="1"/>
        <name val="Georgia"/>
        <family val="1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Georgia"/>
        <family val="1"/>
        <scheme val="minor"/>
      </font>
    </dxf>
    <dxf>
      <font>
        <b val="0"/>
        <strike val="0"/>
        <outline val="0"/>
        <shadow val="0"/>
        <u val="none"/>
        <vertAlign val="baseline"/>
        <color auto="1"/>
        <name val="Georgia"/>
        <family val="1"/>
        <scheme val="minor"/>
      </font>
      <alignment horizontal="left" vertical="center" textRotation="0" wrapText="1" indent="1" justifyLastLine="0" shrinkToFit="0" readingOrder="0"/>
    </dxf>
    <dxf>
      <fill>
        <patternFill patternType="none">
          <fgColor auto="1"/>
          <bgColor auto="1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ill>
        <patternFill>
          <bgColor theme="5" tint="0.79998168889431442"/>
        </patternFill>
      </fill>
      <border diagonalUp="0" diagonalDown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  <vertical style="thin">
          <color theme="6"/>
        </vertical>
        <horizontal style="thin">
          <color theme="6"/>
        </horizontal>
      </border>
    </dxf>
    <dxf>
      <fill>
        <patternFill>
          <bgColor theme="5" tint="0.39994506668294322"/>
        </patternFill>
      </fill>
    </dxf>
    <dxf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b val="0"/>
        <i val="0"/>
        <color theme="3"/>
      </font>
      <border>
        <left style="thin">
          <color auto="1"/>
        </left>
        <right style="thin">
          <color auto="1"/>
        </right>
        <top style="thin">
          <color auto="1"/>
        </top>
      </border>
    </dxf>
  </dxfs>
  <tableStyles count="1" defaultTableStyle="Weekly Meal Planner" defaultPivotStyle="PivotStyleLight16">
    <tableStyle name="Weekly Meal Planner" pivot="0" count="5" xr9:uid="{00000000-0011-0000-FFFF-FFFF00000000}">
      <tableStyleElement type="wholeTable" dxfId="93"/>
      <tableStyleElement type="headerRow" dxfId="92"/>
      <tableStyleElement type="firstColumn" dxfId="91"/>
      <tableStyleElement type="firstRowStripe" dxfId="90"/>
      <tableStyleElement type="secondRowStripe" dxfId="8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4F1F8"/>
      <rgbColor rgb="00EEF8FC"/>
      <rgbColor rgb="00FFFF99"/>
      <rgbColor rgb="00ABDCED"/>
      <rgbColor rgb="00F5F0DD"/>
      <rgbColor rgb="007DBDE1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C942AE03-E8F9-4663-AD0C-B0335EDB639D}" autoFormatId="16" applyNumberFormats="0" applyBorderFormats="0" applyFontFormats="0" applyPatternFormats="0" applyAlignmentFormats="0" applyWidthHeightFormats="0">
  <queryTableRefresh nextId="20">
    <queryTableFields count="6">
      <queryTableField id="10" name="Խումբ" tableColumnId="4"/>
      <queryTableField id="15" name="Անհրաժեշտ բաղադրիչ" tableColumnId="8"/>
      <queryTableField id="16" name="Չափման միավոր" tableColumnId="9"/>
      <queryTableField id="3" name="Քանակ" tableColumnId="3"/>
      <queryTableField id="11" name="Գին" tableColumnId="7"/>
      <queryTableField id="17" name="Գումար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9" xr16:uid="{1A85AE0E-D03F-46FC-B569-14F8441A9103}" autoFormatId="16" applyNumberFormats="0" applyBorderFormats="0" applyFontFormats="0" applyPatternFormats="0" applyAlignmentFormats="0" applyWidthHeightFormats="0">
  <queryTableRefresh nextId="3">
    <queryTableFields count="1">
      <queryTableField id="2" name="Նախաճաշ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6" xr16:uid="{31ED72E4-95B1-4F4A-AC10-6C5C3A667FF1}" autoFormatId="16" applyNumberFormats="0" applyBorderFormats="0" applyFontFormats="0" applyPatternFormats="0" applyAlignmentFormats="0" applyWidthHeightFormats="0">
  <queryTableRefresh nextId="2">
    <queryTableFields count="1">
      <queryTableField id="1" name="Ճաշ, ընթրիք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510C05A-803B-4857-AF01-95B167A9F46F}" autoFormatId="16" applyNumberFormats="0" applyBorderFormats="0" applyFontFormats="0" applyPatternFormats="0" applyAlignmentFormats="0" applyWidthHeightFormats="0">
  <queryTableRefresh nextId="2">
    <queryTableFields count="1">
      <queryTableField id="1" name="Աղցան" tableColumnId="1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0" xr16:uid="{F1DB7E86-9816-4D41-BBA4-E2DA2F9B1C7E}" autoFormatId="16" applyNumberFormats="0" applyBorderFormats="0" applyFontFormats="0" applyPatternFormats="0" applyAlignmentFormats="0" applyWidthHeightFormats="0">
  <queryTableRefresh nextId="2">
    <queryTableFields count="1">
      <queryTableField id="1" name="Հիմնական ուտեստի լրացում, սոուս" tableColumnId="1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064C5A39-8404-4229-9CFB-7D3B22366A43}" autoFormatId="16" applyNumberFormats="0" applyBorderFormats="0" applyFontFormats="0" applyPatternFormats="0" applyAlignmentFormats="0" applyWidthHeightFormats="0">
  <queryTableRefresh nextId="2">
    <queryTableFields count="1">
      <queryTableField id="1" name="Ամբողջական ցանկ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11" xr16:uid="{B2202C2D-54EB-4544-96D0-C8555E11030E}" autoFormatId="16" applyNumberFormats="0" applyBorderFormats="0" applyFontFormats="0" applyPatternFormats="0" applyAlignmentFormats="0" applyWidthHeightFormats="0">
  <queryTableRefresh nextId="2">
    <queryTableFields count="1">
      <queryTableField id="1" name="Ընդմիջում" tableColumnId="1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096DEE55-724B-41B7-89A9-8D49C2D18BB5}" autoFormatId="16" applyNumberFormats="0" applyBorderFormats="0" applyFontFormats="0" applyPatternFormats="0" applyAlignmentFormats="0" applyWidthHeightFormats="0">
  <queryTableRefresh nextId="20">
    <queryTableFields count="6">
      <queryTableField id="10" name="Խումբ" tableColumnId="4"/>
      <queryTableField id="15" name="Անհրաժեշտ բաղադրիչ" tableColumnId="8"/>
      <queryTableField id="16" name="Չափման միավոր" tableColumnId="9"/>
      <queryTableField id="3" name="Քանակ" tableColumnId="3"/>
      <queryTableField id="11" name="Գին" tableColumnId="7"/>
      <queryTableField id="17" name="Գումար" tableColumnId="10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WeeklyMealPlanner" displayName="WeeklyMealPlanner" ref="B4:I11" totalsRowShown="0" headerRowDxfId="63" dataDxfId="62">
  <autoFilter ref="B4:I11" xr:uid="{00000000-0009-0000-0100-000002000000}"/>
  <tableColumns count="8">
    <tableColumn id="1" xr3:uid="{00000000-0010-0000-0000-000001000000}" name="Շաբաթվա օր" dataDxfId="61"/>
    <tableColumn id="2" xr3:uid="{00000000-0010-0000-0000-000002000000}" name="Նախաճաշ 08։00" dataDxfId="60" totalsRowDxfId="59"/>
    <tableColumn id="8" xr3:uid="{00000000-0010-0000-0000-000008000000}" name="ընդմիջում 11։00" dataDxfId="58" totalsRowDxfId="57"/>
    <tableColumn id="3" xr3:uid="{00000000-0010-0000-0000-000003000000}" name="Ճաշ 14։00" dataDxfId="56" totalsRowDxfId="55"/>
    <tableColumn id="9" xr3:uid="{00000000-0010-0000-0000-000009000000}" name="Հետճաշիկ 16։00" dataDxfId="54" totalsRowDxfId="53"/>
    <tableColumn id="4" xr3:uid="{00000000-0010-0000-0000-000004000000}" name="Ընթրիք 19։30" dataDxfId="52" totalsRowDxfId="51"/>
    <tableColumn id="5" xr3:uid="{D741C969-A86F-4171-A5F3-4A1372A69363}" name="Աղցան" dataDxfId="50" totalsRowDxfId="49"/>
    <tableColumn id="6" xr3:uid="{42E0FD08-7AA1-4A78-A043-D944C0D25EB3}" name="Հիմնական ուտեստի լրացում, սոուս" dataDxfId="48" totalsRowDxfId="47"/>
  </tableColumns>
  <tableStyleInfo name="Weekly Meal Planner" showFirstColumn="1" showLastColumn="0" showRowStripes="1" showColumnStripes="1"/>
  <extLst>
    <ext xmlns:x14="http://schemas.microsoft.com/office/spreadsheetml/2009/9/main" uri="{504A1905-F514-4f6f-8877-14C23A59335A}">
      <x14:table altTextSummary="Enter meals such as Breakfast, Snacks, Lunch and Dinner for each weekday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4D2EFC0-A2BF-493D-BE06-73ED3156D324}" name="Անհրաժեշտ_բաղադրիչների_ցանկ_և_գներ" displayName="Անհրաժեշտ_բաղադրիչների_ցանկ_և_գներ" ref="A1:F60" tableType="queryTable" totalsRowCount="1" headerRowDxfId="46" dataDxfId="45" totalsRowDxfId="44">
  <autoFilter ref="A1:F59" xr:uid="{44D2EFC0-A2BF-493D-BE06-73ED3156D324}"/>
  <sortState xmlns:xlrd2="http://schemas.microsoft.com/office/spreadsheetml/2017/richdata2" ref="A2:F59">
    <sortCondition ref="A1:A59"/>
  </sortState>
  <tableColumns count="6">
    <tableColumn id="4" xr3:uid="{D81F5055-1977-4A91-A7F4-AB428B756224}" uniqueName="4" name="Խումբ" queryTableFieldId="10" dataDxfId="43" totalsRowDxfId="42"/>
    <tableColumn id="8" xr3:uid="{9DFECEFB-22E1-433A-AA72-DC393190C499}" uniqueName="8" name="Անհրաժեշտ բաղադրիչ" queryTableFieldId="15" dataDxfId="41" totalsRowDxfId="40"/>
    <tableColumn id="9" xr3:uid="{C2B40EA4-CCFF-4179-9E4D-4BA74B45FE37}" uniqueName="9" name="Չափման միավոր" queryTableFieldId="16" dataDxfId="39" totalsRowDxfId="38"/>
    <tableColumn id="3" xr3:uid="{F6469D53-A761-418B-9151-341627B56A45}" uniqueName="3" name="Քանակ" queryTableFieldId="3" dataDxfId="37" totalsRowDxfId="36"/>
    <tableColumn id="7" xr3:uid="{0639FF06-846A-40D2-A1EA-B8A88403FDF4}" uniqueName="7" name="Գին" queryTableFieldId="11" dataDxfId="35" totalsRowDxfId="34"/>
    <tableColumn id="10" xr3:uid="{E2AF0865-6790-4702-8F8C-BCCABA297214}" uniqueName="10" name="Գումար" totalsRowFunction="sum" queryTableFieldId="17" dataDxfId="33" totalsRowDxfId="3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98B24E69-4B15-4F9A-94F7-A937A1257167}" name="Table26" displayName="Table26" ref="B2:G8" totalsRowShown="0" headerRowDxfId="31" dataDxfId="30">
  <autoFilter ref="B2:G8" xr:uid="{98B24E69-4B15-4F9A-94F7-A937A1257167}"/>
  <tableColumns count="6">
    <tableColumn id="1" xr3:uid="{44EE5184-2C52-4D6C-BE00-55100B4DAA79}" name="Կոմբո" dataDxfId="29"/>
    <tableColumn id="2" xr3:uid="{FC57F987-8D7D-4B3E-90D4-11AA9D3C3CB4}" name="Բաղադրիչ 1" dataDxfId="28"/>
    <tableColumn id="3" xr3:uid="{61B91D60-89C2-4C66-9AA4-2D2E0FF68FF6}" name="Բաղադրիչ 2" dataDxfId="27"/>
    <tableColumn id="4" xr3:uid="{07441997-A5E1-42E6-B905-24D26145BA4E}" name="Բաղադրիչ 3" dataDxfId="26"/>
    <tableColumn id="5" xr3:uid="{8B2FB99C-0074-4F9F-8EFC-D7284CF61C1F}" name="Բաղադրիչ 4" dataDxfId="25"/>
    <tableColumn id="6" xr3:uid="{B1B99E7B-269D-4C02-9A7E-E351F148E9AA}" name="Բաղադրիչ 5" dataDxfId="24">
      <calculatedColumnFormula>Table26[[#This Row],[Կոմբո]]&amp;" "&amp;Table26[[#This Row],[Բաղադրիչ 1]]&amp;" "&amp;Table26[[#This Row],[Բաղադրիչ 2]]&amp;" "&amp;Table26[[#This Row],[Բաղադրիչ 3]]&amp;" "&amp;Table26[[#This Row],[Բաղադրիչ 4]]</calculatedColumnFormula>
    </tableColumn>
  </tableColumns>
  <tableStyleInfo name="TableStyleMedium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B7C7B2C-7839-4069-93F7-A727863DE7CB}" name="Գներ" displayName="Գներ" ref="B1:E81" totalsRowShown="0" dataDxfId="23">
  <autoFilter ref="B1:E81" xr:uid="{CB7C7B2C-7839-4069-93F7-A727863DE7CB}"/>
  <sortState xmlns:xlrd2="http://schemas.microsoft.com/office/spreadsheetml/2017/richdata2" ref="B2:E81">
    <sortCondition ref="C1:C81"/>
  </sortState>
  <tableColumns count="4">
    <tableColumn id="4" xr3:uid="{AD957B85-A10A-48EA-87F9-CB9E709D7957}" name="Խումբ" dataDxfId="22"/>
    <tableColumn id="1" xr3:uid="{1F78C3FF-85D3-45F4-84DD-33BF345CADF4}" name="Ապրանք" dataDxfId="21"/>
    <tableColumn id="2" xr3:uid="{F35F42AE-0E82-4DCC-8203-6456653156B3}" name="չափման միավոր" dataDxfId="20"/>
    <tableColumn id="3" xr3:uid="{09FD6AAA-00A5-420D-8F74-7277A18C6612}" name="Գին" dataDxfId="19"/>
  </tableColumns>
  <tableStyleInfo name="TableStyleMedium1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17E043-9543-49C6-8260-2BE9C6B56758}" name="Խումբ" displayName="Խումբ" ref="H2:H17" totalsRowShown="0">
  <autoFilter ref="H2:H17" xr:uid="{2017E043-9543-49C6-8260-2BE9C6B56758}"/>
  <tableColumns count="1">
    <tableColumn id="1" xr3:uid="{51F97E5F-4398-4897-8BA2-2A4EF5D8A83E}" name="Խումբ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70A1C77-77FE-48AF-9809-249B606098E0}" name="նախաճաշ" displayName="նախաճաշ" ref="B2:E35" totalsRowShown="0" headerRowDxfId="88" dataDxfId="87">
  <autoFilter ref="B2:E35" xr:uid="{070A1C77-77FE-48AF-9809-249B606098E0}"/>
  <tableColumns count="4">
    <tableColumn id="1" xr3:uid="{5866B8A5-FD56-4E41-9EBD-D5AA34DA802B}" name="Նախաճաշ" dataDxfId="86"/>
    <tableColumn id="2" xr3:uid="{00A676B4-50A5-43DD-B17A-13C8E6AABBB7}" name="Անհրաժեշտ բաղադրիչի անվանում" dataDxfId="85"/>
    <tableColumn id="3" xr3:uid="{6FFD6FB5-20BE-4364-9E7E-6A659F1DA6AD}" name="Անհրաժեշտ բաղադրիչի չափման միավոր" dataDxfId="84"/>
    <tableColumn id="4" xr3:uid="{976FF96E-8809-41D3-BEEA-3D9748D68E76}" name="Անհրաժեշտ բաղադրիչի քանակ" dataDxfId="83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3FCE9C-7C34-40AC-9902-25F3C2BC7CE3}" name="ճաշ_ընթրիք" displayName="ճաշ_ընթրիք" ref="G2:J57" totalsRowShown="0" headerRowDxfId="82" dataDxfId="81">
  <autoFilter ref="G2:J57" xr:uid="{273FCE9C-7C34-40AC-9902-25F3C2BC7CE3}"/>
  <tableColumns count="4">
    <tableColumn id="1" xr3:uid="{104D20EF-5A3A-44A3-8D0E-3D597DB4D58B}" name="Ճաշ, ընթրիք" dataDxfId="80"/>
    <tableColumn id="2" xr3:uid="{B91B13C4-AF7E-4803-A79C-6D4B0B590CC6}" name="Անհրաժեշտ բաղադրիչի անվանում" dataDxfId="79"/>
    <tableColumn id="3" xr3:uid="{16A0386D-D1A7-408F-A9C9-377208539DB1}" name="Անհրաժեշտ բաղադրիչի չափման միավոր" dataDxfId="78"/>
    <tableColumn id="4" xr3:uid="{E2613D83-2B43-4F79-8835-11D9641C315F}" name="Անհրաժեշտ բաղադրիչի քանակ" dataDxfId="77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55FD197-E050-4CF0-9C13-FEE668F50899}" name="Աղցան" displayName="Աղցան" ref="L2:O27" totalsRowShown="0" headerRowDxfId="76" dataDxfId="75">
  <autoFilter ref="L2:O27" xr:uid="{B55FD197-E050-4CF0-9C13-FEE668F50899}"/>
  <tableColumns count="4">
    <tableColumn id="1" xr3:uid="{09D958A7-4903-440E-89A6-8CE78298C31A}" name="Աղցան" dataDxfId="74"/>
    <tableColumn id="2" xr3:uid="{ED0FAE59-A750-4004-90C4-1E41A58BC28D}" name="Անհրաժեշտ բաղադրիչի անվանում" dataDxfId="73"/>
    <tableColumn id="3" xr3:uid="{D89B395D-1333-4F10-821E-05EE6E836E40}" name="Անհրաժեշտ բաղադրիչի չափման միավոր" dataDxfId="72"/>
    <tableColumn id="4" xr3:uid="{4C7C5E69-96F0-445E-95B9-593A4236E834}" name="Անհրաժեշտ բաղադրիչի քանակ" dataDxfId="71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51E8799-13DC-42C8-85B1-157274D33988}" name="Հիմնական_ուտեստի_լրացում_սոուս" displayName="Հիմնական_ուտեստի_լրացում_սոուս" ref="Q2:T46" totalsRowShown="0" headerRowDxfId="70" dataDxfId="69">
  <autoFilter ref="Q2:T46" xr:uid="{351E8799-13DC-42C8-85B1-157274D33988}"/>
  <tableColumns count="4">
    <tableColumn id="1" xr3:uid="{718AF481-E589-4DC9-945A-21F1E4A3F9AD}" name="Հիմնական ուտեստի լրացում, սոուս" dataDxfId="68"/>
    <tableColumn id="2" xr3:uid="{DB38FBF9-933F-45E9-86F1-419C3D75DBDC}" name="Անհրաժեշտ բաղադրիչի անվանում" dataDxfId="67"/>
    <tableColumn id="3" xr3:uid="{45378C98-5FA7-4102-AA6D-B2408E954997}" name="Անհրաժեշտ բաղադրիչի չափման միավոր" dataDxfId="66"/>
    <tableColumn id="4" xr3:uid="{FDEF4267-0A94-46E2-B5C6-BFA167F812D4}" name="Անհրաժեշտ բաղադրիչի քանակ" dataDxfId="65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5F6FD677-D4DB-4430-87DC-265AFF45F336}" name="Ընդմիջում" displayName="Ընդմիջում" ref="V2:Y14" totalsRowShown="0" headerRowDxfId="64">
  <autoFilter ref="V2:Y14" xr:uid="{5F6FD677-D4DB-4430-87DC-265AFF45F336}"/>
  <tableColumns count="4">
    <tableColumn id="1" xr3:uid="{2F51CEB6-7C0B-45EC-8ACF-FD2072B42F8A}" name="Ընդմիջում"/>
    <tableColumn id="2" xr3:uid="{0534D64D-62DC-449D-8A53-9DC3C84FA48C}" name="Անհրաժեշտ բաղադրիչի անվանում"/>
    <tableColumn id="3" xr3:uid="{6CD1EFD7-63A6-46BE-A0A8-17A235DEBA81}" name="Անհրաժեշտ բաղադրիչի չափման միավոր"/>
    <tableColumn id="4" xr3:uid="{DA47A73F-6990-4769-A44C-63D48EE4CB55}" name="Անհրաժեշտ բաղադրիչի քանակ"/>
  </tableColumns>
  <tableStyleInfo name="TableStyleMedium1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38A107-83BA-44BF-AF69-AD521A76D35A}" name="նախաճաշ_ցանկ" displayName="նախաճաշ_ցանկ" ref="A1:A12" tableType="queryTable" totalsRowShown="0">
  <autoFilter ref="A1:A12" xr:uid="{BA38A107-83BA-44BF-AF69-AD521A76D35A}"/>
  <tableColumns count="1">
    <tableColumn id="1" xr3:uid="{84DF5EFD-BF25-40CF-9DF2-223662BA9C4A}" uniqueName="1" name="Նախաճաշ" queryTableFieldId="2"/>
  </tableColumns>
  <tableStyleInfo name="TableStyleMedium24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8731BEC-7C80-4E70-A9AA-45429625400C}" name="ճաշ_ընթրիք_ցանկ" displayName="ճաշ_ընթրիք_ցանկ" ref="C1:C16" tableType="queryTable" totalsRowShown="0">
  <autoFilter ref="C1:C16" xr:uid="{08731BEC-7C80-4E70-A9AA-45429625400C}"/>
  <tableColumns count="1">
    <tableColumn id="1" xr3:uid="{8E7FE7E0-8652-482F-AA99-62F6F0ACAE7E}" uniqueName="1" name="Ճաշ, ընթրիք" queryTableFieldId="1"/>
  </tableColumns>
  <tableStyleInfo name="TableStyleMedium24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CA86230-8E87-4804-A5EF-1061E7FFFAB5}" name="Աղցան_ցանկ" displayName="Աղցան_ցանկ" ref="E1:E9" tableType="queryTable" totalsRowShown="0">
  <autoFilter ref="E1:E9" xr:uid="{2CA86230-8E87-4804-A5EF-1061E7FFFAB5}"/>
  <tableColumns count="1">
    <tableColumn id="1" xr3:uid="{B9F27F4A-040E-42A4-ACA9-C6E143A73436}" uniqueName="1" name="Աղցան" queryTableFieldId="1"/>
  </tableColumns>
  <tableStyleInfo name="TableStyleMedium24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B1ED4A4-8C5F-4739-9A4B-A1CEE6273243}" name="Ցանկ_Հիմնական_ուտեստի_լրացում_սոուս_ցանկ" displayName="Ցանկ_Հիմնական_ուտեստի_լրացում_սոուս_ցանկ" ref="G1:G13" tableType="queryTable" totalsRowShown="0">
  <autoFilter ref="G1:G13" xr:uid="{2B1ED4A4-8C5F-4739-9A4B-A1CEE6273243}"/>
  <tableColumns count="1">
    <tableColumn id="1" xr3:uid="{1132B522-54DC-41A8-8058-B27795E55F45}" uniqueName="1" name="Հիմնական ուտեստի լրացում, սոուս" queryTableFieldId="1"/>
  </tableColumns>
  <tableStyleInfo name="TableStyleMedium24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4827EFB1-EE2E-45A1-8897-DD04F1F098CD}" name="Ամբողջական_ցանկ" displayName="Ամբողջական_ցանկ" ref="I1:I59" tableType="queryTable" totalsRowShown="0">
  <autoFilter ref="I1:I59" xr:uid="{4827EFB1-EE2E-45A1-8897-DD04F1F098CD}"/>
  <tableColumns count="1">
    <tableColumn id="1" xr3:uid="{ACFD23C3-AD9B-493E-BAF8-256C65102FF1}" uniqueName="1" name="Ամբողջական ցանկ" queryTableFieldId="1"/>
  </tableColumns>
  <tableStyleInfo name="TableStyleMedium17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93B20926-BB31-49C5-ABE3-73C4EDFA7FEA}" name="Ընդմիջում_ցանկ" displayName="Ընդմիջում_ցանկ" ref="K1:K13" tableType="queryTable" totalsRowShown="0">
  <autoFilter ref="K1:K13" xr:uid="{93B20926-BB31-49C5-ABE3-73C4EDFA7FEA}"/>
  <tableColumns count="1">
    <tableColumn id="1" xr3:uid="{E6D7452D-9F9F-457C-961F-9F632157ACD7}" uniqueName="1" name="Ընդմիջում" queryTableFieldId="1"/>
  </tableColumns>
  <tableStyleInfo name="TableStyleMedium17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F4C009E-7BC4-4AB6-8B88-D57AC46ED10D}" name="Անհրաժեշտ_բաղադրիչների_ցանկ_և_գներ8" displayName="Անհրաժեշտ_բաղադրիչների_ցանկ_և_գներ8" ref="A1:F60" tableType="queryTable" totalsRowCount="1" headerRowDxfId="18" dataDxfId="17" totalsRowDxfId="16">
  <autoFilter ref="A1:F59" xr:uid="{1F4C009E-7BC4-4AB6-8B88-D57AC46ED10D}"/>
  <sortState xmlns:xlrd2="http://schemas.microsoft.com/office/spreadsheetml/2017/richdata2" ref="A2:F59">
    <sortCondition ref="A1:A59"/>
  </sortState>
  <tableColumns count="6">
    <tableColumn id="4" xr3:uid="{B99F82E0-029D-43C8-80AA-6188725251DD}" uniqueName="4" name="Խումբ" queryTableFieldId="10" dataDxfId="15" totalsRowDxfId="14"/>
    <tableColumn id="8" xr3:uid="{8ECEDB22-D603-4912-AC83-7A6B018DFB3C}" uniqueName="8" name="Անհրաժեշտ բաղադրիչ" queryTableFieldId="15" dataDxfId="13" totalsRowDxfId="12"/>
    <tableColumn id="9" xr3:uid="{EE13F0C5-5C9A-44F8-8C36-1DE756E4938B}" uniqueName="9" name="Չափման միավոր" queryTableFieldId="16" dataDxfId="11" totalsRowDxfId="10"/>
    <tableColumn id="3" xr3:uid="{FFB01BE8-FD92-45F9-952A-AD8916EC0A4E}" uniqueName="3" name="Քանակ" queryTableFieldId="3" dataDxfId="9" totalsRowDxfId="8"/>
    <tableColumn id="7" xr3:uid="{9BF868CE-DEF3-4A3D-86D6-2D63C6416634}" uniqueName="7" name="Գին" queryTableFieldId="11" dataDxfId="7" totalsRowDxfId="6"/>
    <tableColumn id="10" xr3:uid="{A5F44936-E319-4F50-91A6-7E6611127406}" uniqueName="10" name="Գումար" totalsRowFunction="sum" queryTableFieldId="17" dataDxfId="5" totalsRowDxfId="4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f16400197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645E2E"/>
      </a:accent1>
      <a:accent2>
        <a:srgbClr val="91B259"/>
      </a:accent2>
      <a:accent3>
        <a:srgbClr val="51672B"/>
      </a:accent3>
      <a:accent4>
        <a:srgbClr val="E7F0F6"/>
      </a:accent4>
      <a:accent5>
        <a:srgbClr val="BBD0E9"/>
      </a:accent5>
      <a:accent6>
        <a:srgbClr val="F5F6CB"/>
      </a:accent6>
      <a:hlink>
        <a:srgbClr val="0563C1"/>
      </a:hlink>
      <a:folHlink>
        <a:srgbClr val="954F72"/>
      </a:folHlink>
    </a:clrScheme>
    <a:fontScheme name="Georgia">
      <a:majorFont>
        <a:latin typeface="Georgia" panose="020405020504050203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eorgia" panose="020405020504050203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100000" t="100000" r="100000" b="10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7B31C-8AFA-4418-8D90-FFA9B62AD2CC}">
  <sheetPr codeName="Sheet1"/>
  <dimension ref="B2"/>
  <sheetViews>
    <sheetView workbookViewId="0">
      <selection activeCell="B17" sqref="B17"/>
    </sheetView>
  </sheetViews>
  <sheetFormatPr defaultRowHeight="15.6" x14ac:dyDescent="0.3"/>
  <cols>
    <col min="2" max="2" width="59.75" customWidth="1"/>
  </cols>
  <sheetData>
    <row r="2" spans="2:2" ht="31.2" x14ac:dyDescent="0.3">
      <c r="B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6"/>
    <pageSetUpPr fitToPage="1"/>
  </sheetPr>
  <dimension ref="A1:M11"/>
  <sheetViews>
    <sheetView showGridLines="0" zoomScale="73" zoomScaleNormal="80" workbookViewId="0">
      <selection activeCell="G6" sqref="G6"/>
    </sheetView>
  </sheetViews>
  <sheetFormatPr defaultColWidth="8.6640625" defaultRowHeight="30" customHeight="1" x14ac:dyDescent="0.3"/>
  <cols>
    <col min="1" max="1" width="2.6640625" customWidth="1"/>
    <col min="2" max="2" width="15.6640625" customWidth="1"/>
    <col min="3" max="3" width="24.58203125" customWidth="1"/>
    <col min="4" max="4" width="19" customWidth="1"/>
    <col min="5" max="7" width="15.6640625" customWidth="1"/>
    <col min="8" max="8" width="11.75" customWidth="1"/>
    <col min="9" max="9" width="16.08203125" customWidth="1"/>
    <col min="10" max="10" width="3.75" customWidth="1"/>
    <col min="12" max="12" width="15.25" customWidth="1"/>
  </cols>
  <sheetData>
    <row r="1" spans="1:13" ht="54.9" customHeight="1" x14ac:dyDescent="0.4">
      <c r="B1" s="15" t="s">
        <v>0</v>
      </c>
      <c r="C1" s="16"/>
      <c r="D1" s="16"/>
      <c r="E1" s="16"/>
      <c r="F1" s="16"/>
      <c r="G1" s="16"/>
    </row>
    <row r="2" spans="1:13" ht="54.9" customHeight="1" x14ac:dyDescent="0.3">
      <c r="A2" s="1"/>
      <c r="B2" s="14" t="s">
        <v>2</v>
      </c>
      <c r="C2" s="14"/>
      <c r="D2" s="14"/>
      <c r="E2" s="14"/>
      <c r="F2" s="14"/>
      <c r="G2" s="14"/>
    </row>
    <row r="3" spans="1:13" ht="39" customHeight="1" x14ac:dyDescent="0.3">
      <c r="B3" s="17" t="s">
        <v>1</v>
      </c>
      <c r="C3" s="18"/>
      <c r="D3" s="18"/>
      <c r="E3" s="18"/>
      <c r="F3" s="18"/>
      <c r="G3" s="18"/>
    </row>
    <row r="4" spans="1:13" ht="30" customHeight="1" x14ac:dyDescent="0.3">
      <c r="B4" s="2" t="s">
        <v>10</v>
      </c>
      <c r="C4" s="2" t="s">
        <v>12</v>
      </c>
      <c r="D4" s="2" t="s">
        <v>13</v>
      </c>
      <c r="E4" s="2" t="s">
        <v>11</v>
      </c>
      <c r="F4" s="2" t="s">
        <v>14</v>
      </c>
      <c r="G4" s="2" t="s">
        <v>15</v>
      </c>
      <c r="H4" s="2" t="s">
        <v>93</v>
      </c>
      <c r="I4" s="2" t="s">
        <v>94</v>
      </c>
    </row>
    <row r="5" spans="1:13" ht="67.8" customHeight="1" x14ac:dyDescent="0.3">
      <c r="B5" s="3" t="s">
        <v>3</v>
      </c>
      <c r="L5" t="s">
        <v>176</v>
      </c>
      <c r="M5">
        <f>Անհրաժեշտ_բաղադրիչների_ցանկ_և_գներ[[#Totals],[Գումար]]</f>
        <v>30393.5</v>
      </c>
    </row>
    <row r="6" spans="1:13" ht="30" customHeight="1" x14ac:dyDescent="0.3">
      <c r="B6" s="3" t="s">
        <v>4</v>
      </c>
      <c r="C6" t="s">
        <v>192</v>
      </c>
      <c r="D6" t="s">
        <v>196</v>
      </c>
      <c r="F6" t="s">
        <v>189</v>
      </c>
      <c r="G6" t="s">
        <v>33</v>
      </c>
      <c r="H6" t="s">
        <v>177</v>
      </c>
    </row>
    <row r="7" spans="1:13" ht="30" customHeight="1" x14ac:dyDescent="0.3">
      <c r="B7" s="3" t="s">
        <v>5</v>
      </c>
      <c r="C7" t="s">
        <v>207</v>
      </c>
      <c r="D7" t="s">
        <v>197</v>
      </c>
      <c r="G7" t="s">
        <v>88</v>
      </c>
      <c r="I7" t="s">
        <v>30</v>
      </c>
    </row>
    <row r="8" spans="1:13" ht="30" customHeight="1" x14ac:dyDescent="0.3">
      <c r="B8" s="3" t="s">
        <v>6</v>
      </c>
      <c r="C8" t="s">
        <v>72</v>
      </c>
      <c r="D8" t="s">
        <v>203</v>
      </c>
      <c r="F8" t="s">
        <v>181</v>
      </c>
      <c r="G8" t="s">
        <v>42</v>
      </c>
      <c r="H8" t="s">
        <v>50</v>
      </c>
      <c r="I8" t="s">
        <v>96</v>
      </c>
    </row>
    <row r="9" spans="1:13" ht="30" customHeight="1" x14ac:dyDescent="0.3">
      <c r="B9" s="3" t="s">
        <v>7</v>
      </c>
      <c r="C9" t="s">
        <v>195</v>
      </c>
      <c r="D9" t="s">
        <v>204</v>
      </c>
      <c r="F9" t="s">
        <v>97</v>
      </c>
      <c r="G9" t="s">
        <v>41</v>
      </c>
      <c r="H9" t="s">
        <v>89</v>
      </c>
    </row>
    <row r="10" spans="1:13" ht="30" customHeight="1" x14ac:dyDescent="0.3">
      <c r="B10" s="3" t="s">
        <v>8</v>
      </c>
      <c r="C10" t="s">
        <v>72</v>
      </c>
      <c r="E10" t="s">
        <v>98</v>
      </c>
      <c r="F10" t="s">
        <v>179</v>
      </c>
      <c r="G10" t="s">
        <v>90</v>
      </c>
      <c r="H10" t="s">
        <v>144</v>
      </c>
    </row>
    <row r="11" spans="1:13" ht="30" customHeight="1" x14ac:dyDescent="0.3">
      <c r="B11" s="3" t="s">
        <v>9</v>
      </c>
      <c r="C11" t="s">
        <v>71</v>
      </c>
      <c r="E11" t="s">
        <v>81</v>
      </c>
      <c r="G11" t="s">
        <v>63</v>
      </c>
      <c r="H11" t="s">
        <v>58</v>
      </c>
    </row>
  </sheetData>
  <mergeCells count="3">
    <mergeCell ref="B2:G2"/>
    <mergeCell ref="B1:G1"/>
    <mergeCell ref="B3:G3"/>
  </mergeCells>
  <dataValidations count="9">
    <dataValidation allowBlank="1" showInputMessage="1" showErrorMessage="1" prompt="Title of this worksheet is in this cell" sqref="B2" xr:uid="{00000000-0002-0000-0000-000000000000}"/>
    <dataValidation allowBlank="1" showInputMessage="1" showErrorMessage="1" prompt="Enter Date in this cell" sqref="B3" xr:uid="{00000000-0002-0000-0000-000001000000}"/>
    <dataValidation allowBlank="1" showInputMessage="1" showErrorMessage="1" prompt="Enter Weekdays in this column under this heading. Use heading filters to find specific entries" sqref="B4" xr:uid="{00000000-0002-0000-0000-000002000000}"/>
    <dataValidation allowBlank="1" showInputMessage="1" showErrorMessage="1" prompt="Create Weekly Meal Planner in this worksheet" sqref="A2" xr:uid="{00000000-0002-0000-0000-000003000000}"/>
    <dataValidation allowBlank="1" showInputMessage="1" showErrorMessage="1" prompt="Enter Breakfast item in this column under this heading" sqref="C4" xr:uid="{00000000-0002-0000-0000-000004000000}"/>
    <dataValidation allowBlank="1" showInputMessage="1" showErrorMessage="1" prompt="Enter first Snack item in this column under this heading" sqref="D4" xr:uid="{00000000-0002-0000-0000-000005000000}"/>
    <dataValidation allowBlank="1" showInputMessage="1" showErrorMessage="1" prompt="Enter Lunch item in this column under this heading" sqref="E4" xr:uid="{00000000-0002-0000-0000-000006000000}"/>
    <dataValidation allowBlank="1" showInputMessage="1" showErrorMessage="1" prompt="Enter second Snack item in this column under this heading" sqref="F4" xr:uid="{00000000-0002-0000-0000-000007000000}"/>
    <dataValidation allowBlank="1" showInputMessage="1" showErrorMessage="1" prompt="Enter Dinner item in this column under this heading" sqref="G4" xr:uid="{00000000-0002-0000-0000-000008000000}"/>
  </dataValidations>
  <printOptions horizontalCentered="1"/>
  <pageMargins left="0.6" right="0.6" top="0.6" bottom="0.75" header="0.5" footer="0.5"/>
  <pageSetup scale="85" fitToHeight="0" orientation="landscape" horizontalDpi="4294967292" r:id="rId1"/>
  <headerFooter differentFirst="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4180F89F-9B08-4DD8-ABB7-01FC3399799F}">
          <x14:formula1>
            <xm:f>ցանկ!$E$2:$E$9</xm:f>
          </x14:formula1>
          <xm:sqref>H5:H11</xm:sqref>
        </x14:dataValidation>
        <x14:dataValidation type="list" allowBlank="1" showInputMessage="1" showErrorMessage="1" xr:uid="{A427FC98-63D5-4EAD-B97D-10193FFDCEDE}">
          <x14:formula1>
            <xm:f>Կոմբո!$G$3:$G$5</xm:f>
          </x14:formula1>
          <xm:sqref>D10:D11</xm:sqref>
        </x14:dataValidation>
        <x14:dataValidation type="list" allowBlank="1" showInputMessage="1" showErrorMessage="1" xr:uid="{6CD84044-EF16-44B5-B80D-033B9F34D5CC}">
          <x14:formula1>
            <xm:f>ցանկ!$C$2:$C$16</xm:f>
          </x14:formula1>
          <xm:sqref>E5:E11 G5:G11</xm:sqref>
        </x14:dataValidation>
        <x14:dataValidation type="list" allowBlank="1" showInputMessage="1" showErrorMessage="1" xr:uid="{5D39ECD8-3552-4360-A966-70FD7F77C6BD}">
          <x14:formula1>
            <xm:f>ցանկ!$A$2:$A$12</xm:f>
          </x14:formula1>
          <xm:sqref>C5:C11</xm:sqref>
        </x14:dataValidation>
        <x14:dataValidation type="list" allowBlank="1" showInputMessage="1" showErrorMessage="1" xr:uid="{1EF8DD31-82CD-4556-BB91-6203E5CE10DA}">
          <x14:formula1>
            <xm:f>ցանկ!$G$2:$G$13</xm:f>
          </x14:formula1>
          <xm:sqref>I5:I11 F5:F11</xm:sqref>
        </x14:dataValidation>
        <x14:dataValidation type="list" allowBlank="1" showInputMessage="1" showErrorMessage="1" xr:uid="{6525448E-8DBF-4694-8C78-909E653A780E}">
          <x14:formula1>
            <xm:f>Կոմբո!$G$3:$G$8</xm:f>
          </x14:formula1>
          <xm:sqref>D5:D9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92571-1B31-4B75-A1F4-07A772979BF9}">
  <sheetPr codeName="Sheet3"/>
  <dimension ref="A1:F60"/>
  <sheetViews>
    <sheetView zoomScale="80" zoomScaleNormal="80" workbookViewId="0">
      <selection activeCell="H11" sqref="H11"/>
    </sheetView>
  </sheetViews>
  <sheetFormatPr defaultRowHeight="15.6" x14ac:dyDescent="0.3"/>
  <cols>
    <col min="1" max="1" width="23.4140625" bestFit="1" customWidth="1"/>
    <col min="2" max="2" width="80.6640625" bestFit="1" customWidth="1"/>
    <col min="3" max="3" width="22.75" bestFit="1" customWidth="1"/>
    <col min="4" max="4" width="12.9140625" bestFit="1" customWidth="1"/>
    <col min="5" max="5" width="9.58203125" bestFit="1" customWidth="1"/>
    <col min="6" max="6" width="13.25" bestFit="1" customWidth="1"/>
    <col min="7" max="7" width="10.6640625" bestFit="1" customWidth="1"/>
    <col min="8" max="8" width="7.9140625" bestFit="1" customWidth="1"/>
  </cols>
  <sheetData>
    <row r="1" spans="1:6" s="12" customFormat="1" x14ac:dyDescent="0.3">
      <c r="A1" s="11" t="s">
        <v>153</v>
      </c>
      <c r="B1" s="11" t="s">
        <v>169</v>
      </c>
      <c r="C1" s="11" t="s">
        <v>170</v>
      </c>
      <c r="D1" s="11" t="s">
        <v>116</v>
      </c>
      <c r="E1" s="11" t="s">
        <v>127</v>
      </c>
      <c r="F1" s="11" t="s">
        <v>171</v>
      </c>
    </row>
    <row r="2" spans="1:6" x14ac:dyDescent="0.3">
      <c r="A2" s="10" t="s">
        <v>154</v>
      </c>
      <c r="B2" s="10" t="s">
        <v>69</v>
      </c>
      <c r="C2" s="10" t="s">
        <v>22</v>
      </c>
      <c r="D2" s="10">
        <v>0.89999999999999991</v>
      </c>
      <c r="E2" s="10">
        <v>400</v>
      </c>
      <c r="F2" s="10">
        <v>359.99999999999994</v>
      </c>
    </row>
    <row r="3" spans="1:6" x14ac:dyDescent="0.3">
      <c r="A3" s="10" t="s">
        <v>154</v>
      </c>
      <c r="B3" s="10" t="s">
        <v>65</v>
      </c>
      <c r="C3" s="10" t="s">
        <v>22</v>
      </c>
      <c r="D3" s="10">
        <v>0.4</v>
      </c>
      <c r="E3" s="10">
        <v>1500</v>
      </c>
      <c r="F3" s="10">
        <v>600</v>
      </c>
    </row>
    <row r="4" spans="1:6" x14ac:dyDescent="0.3">
      <c r="A4" s="10" t="s">
        <v>154</v>
      </c>
      <c r="B4" s="10" t="s">
        <v>37</v>
      </c>
      <c r="C4" s="10" t="s">
        <v>38</v>
      </c>
      <c r="D4" s="10">
        <v>3</v>
      </c>
      <c r="E4" s="10">
        <v>50</v>
      </c>
      <c r="F4" s="10">
        <v>150</v>
      </c>
    </row>
    <row r="5" spans="1:6" x14ac:dyDescent="0.3">
      <c r="A5" s="10" t="s">
        <v>154</v>
      </c>
      <c r="B5" s="10" t="s">
        <v>178</v>
      </c>
      <c r="C5" s="10" t="s">
        <v>22</v>
      </c>
      <c r="D5" s="10">
        <v>0.7</v>
      </c>
      <c r="E5" s="10">
        <v>650</v>
      </c>
      <c r="F5" s="10">
        <v>454.99999999999994</v>
      </c>
    </row>
    <row r="6" spans="1:6" x14ac:dyDescent="0.3">
      <c r="A6" s="10" t="s">
        <v>154</v>
      </c>
      <c r="B6" s="10" t="s">
        <v>36</v>
      </c>
      <c r="C6" s="10" t="s">
        <v>22</v>
      </c>
      <c r="D6" s="10">
        <v>0.4</v>
      </c>
      <c r="E6" s="10">
        <v>300</v>
      </c>
      <c r="F6" s="10">
        <v>120</v>
      </c>
    </row>
    <row r="7" spans="1:6" x14ac:dyDescent="0.3">
      <c r="A7" s="10" t="s">
        <v>154</v>
      </c>
      <c r="B7" s="10" t="s">
        <v>60</v>
      </c>
      <c r="C7" s="10" t="s">
        <v>22</v>
      </c>
      <c r="D7" s="10">
        <v>0.2</v>
      </c>
      <c r="E7" s="10">
        <v>2550</v>
      </c>
      <c r="F7" s="10">
        <v>510</v>
      </c>
    </row>
    <row r="8" spans="1:6" x14ac:dyDescent="0.3">
      <c r="A8" s="10" t="s">
        <v>154</v>
      </c>
      <c r="B8" s="10" t="s">
        <v>51</v>
      </c>
      <c r="C8" s="10" t="s">
        <v>22</v>
      </c>
      <c r="D8" s="10">
        <v>0.3</v>
      </c>
      <c r="E8" s="10">
        <v>250</v>
      </c>
      <c r="F8" s="10">
        <v>75</v>
      </c>
    </row>
    <row r="9" spans="1:6" x14ac:dyDescent="0.3">
      <c r="A9" s="10" t="s">
        <v>154</v>
      </c>
      <c r="B9" s="10" t="s">
        <v>55</v>
      </c>
      <c r="C9" s="10" t="s">
        <v>22</v>
      </c>
      <c r="D9" s="10">
        <v>0.3</v>
      </c>
      <c r="E9" s="10">
        <v>250</v>
      </c>
      <c r="F9" s="10">
        <v>75</v>
      </c>
    </row>
    <row r="10" spans="1:6" x14ac:dyDescent="0.3">
      <c r="A10" s="10" t="s">
        <v>154</v>
      </c>
      <c r="B10" s="10" t="s">
        <v>44</v>
      </c>
      <c r="C10" s="10" t="s">
        <v>22</v>
      </c>
      <c r="D10" s="10">
        <v>0.5</v>
      </c>
      <c r="E10" s="10">
        <v>500</v>
      </c>
      <c r="F10" s="10">
        <v>250</v>
      </c>
    </row>
    <row r="11" spans="1:6" x14ac:dyDescent="0.3">
      <c r="A11" s="10" t="s">
        <v>154</v>
      </c>
      <c r="B11" s="10" t="s">
        <v>45</v>
      </c>
      <c r="C11" s="10" t="s">
        <v>22</v>
      </c>
      <c r="D11" s="10">
        <v>0.5</v>
      </c>
      <c r="E11" s="10">
        <v>600</v>
      </c>
      <c r="F11" s="10">
        <v>300</v>
      </c>
    </row>
    <row r="12" spans="1:6" x14ac:dyDescent="0.3">
      <c r="A12" s="10" t="s">
        <v>154</v>
      </c>
      <c r="B12" s="10" t="s">
        <v>43</v>
      </c>
      <c r="C12" s="10" t="s">
        <v>22</v>
      </c>
      <c r="D12" s="10">
        <v>13.899999999999999</v>
      </c>
      <c r="E12" s="10">
        <v>180</v>
      </c>
      <c r="F12" s="10">
        <v>2501.9999999999995</v>
      </c>
    </row>
    <row r="13" spans="1:6" x14ac:dyDescent="0.3">
      <c r="A13" s="10" t="s">
        <v>154</v>
      </c>
      <c r="B13" s="10" t="s">
        <v>35</v>
      </c>
      <c r="C13" s="10" t="s">
        <v>22</v>
      </c>
      <c r="D13" s="10">
        <v>1.1499999999999999</v>
      </c>
      <c r="E13" s="10">
        <v>350</v>
      </c>
      <c r="F13" s="10">
        <v>402.49999999999994</v>
      </c>
    </row>
    <row r="14" spans="1:6" x14ac:dyDescent="0.3">
      <c r="A14" s="10" t="s">
        <v>166</v>
      </c>
      <c r="B14" s="10" t="s">
        <v>64</v>
      </c>
      <c r="C14" s="10" t="s">
        <v>22</v>
      </c>
      <c r="D14" s="10">
        <v>0.3</v>
      </c>
      <c r="E14" s="10">
        <v>1990</v>
      </c>
      <c r="F14" s="10">
        <v>597</v>
      </c>
    </row>
    <row r="15" spans="1:6" x14ac:dyDescent="0.3">
      <c r="A15" s="10" t="s">
        <v>166</v>
      </c>
      <c r="B15" s="10" t="s">
        <v>66</v>
      </c>
      <c r="C15" s="10" t="s">
        <v>22</v>
      </c>
      <c r="D15" s="10">
        <v>0.2</v>
      </c>
      <c r="E15" s="10">
        <v>3590</v>
      </c>
      <c r="F15" s="10">
        <v>718</v>
      </c>
    </row>
    <row r="16" spans="1:6" x14ac:dyDescent="0.3">
      <c r="A16" s="10" t="s">
        <v>167</v>
      </c>
      <c r="B16" s="10" t="s">
        <v>56</v>
      </c>
      <c r="C16" s="10" t="s">
        <v>24</v>
      </c>
      <c r="D16" s="10">
        <v>10</v>
      </c>
      <c r="E16" s="10">
        <v>10</v>
      </c>
      <c r="F16" s="10">
        <v>100</v>
      </c>
    </row>
    <row r="17" spans="1:6" x14ac:dyDescent="0.3">
      <c r="A17" s="10" t="s">
        <v>160</v>
      </c>
      <c r="B17" s="10" t="s">
        <v>62</v>
      </c>
      <c r="C17" s="10" t="s">
        <v>22</v>
      </c>
      <c r="D17" s="10">
        <v>0.2</v>
      </c>
      <c r="E17" s="10">
        <v>3900</v>
      </c>
      <c r="F17" s="10">
        <v>780</v>
      </c>
    </row>
    <row r="18" spans="1:6" x14ac:dyDescent="0.3">
      <c r="A18" s="10" t="s">
        <v>160</v>
      </c>
      <c r="B18" s="10" t="s">
        <v>111</v>
      </c>
      <c r="C18" s="10" t="s">
        <v>22</v>
      </c>
      <c r="D18" s="10">
        <v>1.5</v>
      </c>
      <c r="E18" s="10">
        <v>400</v>
      </c>
      <c r="F18" s="10">
        <v>600</v>
      </c>
    </row>
    <row r="19" spans="1:6" x14ac:dyDescent="0.3">
      <c r="A19" s="10" t="s">
        <v>160</v>
      </c>
      <c r="B19" s="10" t="s">
        <v>84</v>
      </c>
      <c r="C19" s="10" t="s">
        <v>85</v>
      </c>
      <c r="D19" s="10">
        <v>0.2</v>
      </c>
      <c r="E19" s="10">
        <v>550</v>
      </c>
      <c r="F19" s="10">
        <v>110</v>
      </c>
    </row>
    <row r="20" spans="1:6" x14ac:dyDescent="0.3">
      <c r="A20" s="10" t="s">
        <v>160</v>
      </c>
      <c r="B20" s="10" t="s">
        <v>74</v>
      </c>
      <c r="C20" s="10" t="s">
        <v>22</v>
      </c>
      <c r="D20" s="10">
        <v>0.1</v>
      </c>
      <c r="E20" s="10">
        <v>6250</v>
      </c>
      <c r="F20" s="10">
        <v>625</v>
      </c>
    </row>
    <row r="21" spans="1:6" x14ac:dyDescent="0.3">
      <c r="A21" s="10" t="s">
        <v>160</v>
      </c>
      <c r="B21" s="10" t="s">
        <v>77</v>
      </c>
      <c r="C21" s="10" t="s">
        <v>67</v>
      </c>
      <c r="D21" s="10">
        <v>0.5</v>
      </c>
      <c r="E21" s="10">
        <v>600</v>
      </c>
      <c r="F21" s="10">
        <v>300</v>
      </c>
    </row>
    <row r="22" spans="1:6" x14ac:dyDescent="0.3">
      <c r="A22" s="10" t="s">
        <v>160</v>
      </c>
      <c r="B22" s="10" t="s">
        <v>70</v>
      </c>
      <c r="C22" s="10" t="s">
        <v>22</v>
      </c>
      <c r="D22" s="10">
        <v>0.9</v>
      </c>
      <c r="E22" s="10">
        <v>2950</v>
      </c>
      <c r="F22" s="10">
        <v>2655</v>
      </c>
    </row>
    <row r="23" spans="1:6" x14ac:dyDescent="0.3">
      <c r="A23" s="10" t="s">
        <v>160</v>
      </c>
      <c r="B23" s="10" t="s">
        <v>47</v>
      </c>
      <c r="C23" s="10" t="s">
        <v>67</v>
      </c>
      <c r="D23" s="10">
        <v>0.4</v>
      </c>
      <c r="E23" s="10">
        <v>710</v>
      </c>
      <c r="F23" s="10">
        <v>284</v>
      </c>
    </row>
    <row r="24" spans="1:6" x14ac:dyDescent="0.3">
      <c r="A24" s="10" t="s">
        <v>160</v>
      </c>
      <c r="B24" s="10" t="s">
        <v>107</v>
      </c>
      <c r="C24" s="10" t="s">
        <v>24</v>
      </c>
      <c r="D24" s="10">
        <v>29</v>
      </c>
      <c r="E24" s="10">
        <v>70</v>
      </c>
      <c r="F24" s="10">
        <v>2030</v>
      </c>
    </row>
    <row r="25" spans="1:6" x14ac:dyDescent="0.3">
      <c r="A25" s="10" t="s">
        <v>160</v>
      </c>
      <c r="B25" s="10" t="s">
        <v>73</v>
      </c>
      <c r="C25" s="10" t="s">
        <v>22</v>
      </c>
      <c r="D25" s="10">
        <v>0.1</v>
      </c>
      <c r="E25" s="10">
        <v>1540</v>
      </c>
      <c r="F25" s="10">
        <v>154</v>
      </c>
    </row>
    <row r="26" spans="1:6" x14ac:dyDescent="0.3">
      <c r="A26" s="10" t="s">
        <v>165</v>
      </c>
      <c r="B26" s="10" t="s">
        <v>52</v>
      </c>
      <c r="C26" s="10" t="s">
        <v>53</v>
      </c>
      <c r="D26" s="10">
        <v>0.30000000000000004</v>
      </c>
      <c r="E26" s="10">
        <v>250</v>
      </c>
      <c r="F26" s="10">
        <v>75.000000000000014</v>
      </c>
    </row>
    <row r="27" spans="1:6" x14ac:dyDescent="0.3">
      <c r="A27" s="10" t="s">
        <v>165</v>
      </c>
      <c r="B27" s="10" t="s">
        <v>61</v>
      </c>
      <c r="C27" s="10" t="s">
        <v>53</v>
      </c>
      <c r="D27" s="10">
        <v>1</v>
      </c>
      <c r="E27" s="10">
        <v>400</v>
      </c>
      <c r="F27" s="10">
        <v>400</v>
      </c>
    </row>
    <row r="28" spans="1:6" x14ac:dyDescent="0.3">
      <c r="A28" s="10" t="s">
        <v>157</v>
      </c>
      <c r="B28" s="10" t="s">
        <v>142</v>
      </c>
      <c r="C28" s="10" t="s">
        <v>24</v>
      </c>
      <c r="D28" s="10">
        <v>2</v>
      </c>
      <c r="E28" s="10">
        <v>120</v>
      </c>
      <c r="F28" s="10">
        <v>240</v>
      </c>
    </row>
    <row r="29" spans="1:6" x14ac:dyDescent="0.3">
      <c r="A29" s="10" t="s">
        <v>157</v>
      </c>
      <c r="B29" s="10" t="s">
        <v>141</v>
      </c>
      <c r="C29" s="10" t="s">
        <v>24</v>
      </c>
      <c r="D29" s="10">
        <v>5</v>
      </c>
      <c r="E29" s="10">
        <v>210</v>
      </c>
      <c r="F29" s="10">
        <v>1050</v>
      </c>
    </row>
    <row r="30" spans="1:6" x14ac:dyDescent="0.3">
      <c r="A30" s="10" t="s">
        <v>157</v>
      </c>
      <c r="B30" s="10" t="s">
        <v>174</v>
      </c>
      <c r="C30" s="10" t="s">
        <v>24</v>
      </c>
      <c r="D30" s="10">
        <v>3</v>
      </c>
      <c r="E30" s="10">
        <v>300</v>
      </c>
      <c r="F30" s="10">
        <v>900</v>
      </c>
    </row>
    <row r="31" spans="1:6" x14ac:dyDescent="0.3">
      <c r="A31" s="10" t="s">
        <v>157</v>
      </c>
      <c r="B31" s="10" t="s">
        <v>59</v>
      </c>
      <c r="C31" s="10" t="s">
        <v>24</v>
      </c>
      <c r="D31" s="10">
        <v>1</v>
      </c>
      <c r="E31" s="10">
        <v>90</v>
      </c>
      <c r="F31" s="10">
        <v>90</v>
      </c>
    </row>
    <row r="32" spans="1:6" x14ac:dyDescent="0.3">
      <c r="A32" s="10" t="s">
        <v>157</v>
      </c>
      <c r="B32" s="10" t="s">
        <v>75</v>
      </c>
      <c r="C32" s="10" t="s">
        <v>24</v>
      </c>
      <c r="D32" s="10">
        <v>6</v>
      </c>
      <c r="E32" s="10">
        <v>230</v>
      </c>
      <c r="F32" s="10">
        <v>1380</v>
      </c>
    </row>
    <row r="33" spans="1:6" x14ac:dyDescent="0.3">
      <c r="A33" s="10" t="s">
        <v>159</v>
      </c>
      <c r="B33" s="10" t="s">
        <v>80</v>
      </c>
      <c r="C33" s="10" t="s">
        <v>22</v>
      </c>
      <c r="D33" s="10">
        <v>0.4</v>
      </c>
      <c r="E33" s="10">
        <v>3300</v>
      </c>
      <c r="F33" s="10">
        <v>1320</v>
      </c>
    </row>
    <row r="34" spans="1:6" x14ac:dyDescent="0.3">
      <c r="A34" s="10" t="s">
        <v>159</v>
      </c>
      <c r="B34" s="10" t="s">
        <v>18</v>
      </c>
      <c r="C34" s="10" t="s">
        <v>22</v>
      </c>
      <c r="D34" s="10">
        <v>0.89999999999999991</v>
      </c>
      <c r="E34" s="10">
        <v>4500</v>
      </c>
      <c r="F34" s="10">
        <v>4049.9999999999995</v>
      </c>
    </row>
    <row r="35" spans="1:6" x14ac:dyDescent="0.3">
      <c r="A35" s="10" t="s">
        <v>159</v>
      </c>
      <c r="B35" s="10" t="s">
        <v>39</v>
      </c>
      <c r="C35" s="10" t="s">
        <v>22</v>
      </c>
      <c r="D35" s="10">
        <v>1.7</v>
      </c>
      <c r="E35" s="10">
        <v>1400</v>
      </c>
      <c r="F35" s="10">
        <v>2380</v>
      </c>
    </row>
    <row r="36" spans="1:6" x14ac:dyDescent="0.3">
      <c r="A36" s="10" t="s">
        <v>155</v>
      </c>
      <c r="B36" s="10" t="s">
        <v>49</v>
      </c>
      <c r="C36" s="10" t="s">
        <v>24</v>
      </c>
      <c r="D36" s="10">
        <v>0.25</v>
      </c>
      <c r="E36" s="10">
        <v>150</v>
      </c>
      <c r="F36" s="10">
        <v>37.5</v>
      </c>
    </row>
    <row r="37" spans="1:6" x14ac:dyDescent="0.3">
      <c r="A37" s="10" t="s">
        <v>155</v>
      </c>
      <c r="B37" s="10" t="s">
        <v>57</v>
      </c>
      <c r="C37" s="10" t="s">
        <v>24</v>
      </c>
      <c r="D37" s="10">
        <v>0.2</v>
      </c>
      <c r="E37" s="10">
        <v>1000</v>
      </c>
      <c r="F37" s="10">
        <v>200</v>
      </c>
    </row>
    <row r="38" spans="1:6" x14ac:dyDescent="0.3">
      <c r="A38" s="10" t="s">
        <v>156</v>
      </c>
      <c r="B38" s="10" t="s">
        <v>175</v>
      </c>
      <c r="C38" s="10" t="s">
        <v>22</v>
      </c>
      <c r="D38" s="10">
        <v>0.2</v>
      </c>
      <c r="E38" s="10">
        <v>500</v>
      </c>
      <c r="F38" s="10">
        <v>100</v>
      </c>
    </row>
    <row r="39" spans="1:6" x14ac:dyDescent="0.3">
      <c r="A39" s="10" t="s">
        <v>156</v>
      </c>
      <c r="B39" s="10" t="s">
        <v>83</v>
      </c>
      <c r="C39" s="10" t="s">
        <v>22</v>
      </c>
      <c r="D39" s="10">
        <v>0.1</v>
      </c>
      <c r="E39" s="10">
        <v>1200</v>
      </c>
      <c r="F39" s="10">
        <v>120</v>
      </c>
    </row>
    <row r="40" spans="1:6" x14ac:dyDescent="0.3">
      <c r="A40" s="10" t="s">
        <v>156</v>
      </c>
      <c r="B40" s="10" t="s">
        <v>146</v>
      </c>
      <c r="C40" s="10" t="s">
        <v>67</v>
      </c>
      <c r="D40" s="10">
        <v>1</v>
      </c>
      <c r="E40" s="10">
        <v>700</v>
      </c>
      <c r="F40" s="10">
        <v>700</v>
      </c>
    </row>
    <row r="41" spans="1:6" x14ac:dyDescent="0.3">
      <c r="A41" s="10" t="s">
        <v>156</v>
      </c>
      <c r="B41" s="10" t="s">
        <v>193</v>
      </c>
      <c r="C41" s="10" t="s">
        <v>22</v>
      </c>
      <c r="D41" s="10">
        <v>0.05</v>
      </c>
      <c r="E41" s="10">
        <v>1650</v>
      </c>
      <c r="F41" s="10">
        <v>82.5</v>
      </c>
    </row>
    <row r="42" spans="1:6" x14ac:dyDescent="0.3">
      <c r="A42" s="10" t="s">
        <v>156</v>
      </c>
      <c r="B42" s="10" t="s">
        <v>82</v>
      </c>
      <c r="C42" s="10" t="s">
        <v>22</v>
      </c>
      <c r="D42" s="10">
        <v>0.2</v>
      </c>
      <c r="E42" s="10">
        <v>1000</v>
      </c>
      <c r="F42" s="10">
        <v>200</v>
      </c>
    </row>
    <row r="43" spans="1:6" x14ac:dyDescent="0.3">
      <c r="A43" s="10" t="s">
        <v>156</v>
      </c>
      <c r="B43" s="10" t="s">
        <v>34</v>
      </c>
      <c r="C43" s="10" t="s">
        <v>22</v>
      </c>
      <c r="D43" s="10">
        <v>0.25</v>
      </c>
      <c r="E43" s="10">
        <v>740</v>
      </c>
      <c r="F43" s="10">
        <v>185</v>
      </c>
    </row>
    <row r="44" spans="1:6" x14ac:dyDescent="0.3">
      <c r="A44" s="10" t="s">
        <v>156</v>
      </c>
      <c r="B44" s="10" t="s">
        <v>40</v>
      </c>
      <c r="C44" s="10" t="s">
        <v>22</v>
      </c>
      <c r="D44" s="10">
        <v>0.1</v>
      </c>
      <c r="E44" s="10">
        <v>700</v>
      </c>
      <c r="F44" s="10">
        <v>70</v>
      </c>
    </row>
    <row r="45" spans="1:6" x14ac:dyDescent="0.3">
      <c r="A45" s="10" t="s">
        <v>161</v>
      </c>
      <c r="B45" s="10" t="s">
        <v>68</v>
      </c>
      <c r="C45" s="10" t="s">
        <v>67</v>
      </c>
      <c r="D45" s="10">
        <v>1</v>
      </c>
      <c r="E45" s="10">
        <v>600</v>
      </c>
      <c r="F45" s="10">
        <v>600</v>
      </c>
    </row>
    <row r="46" spans="1:6" x14ac:dyDescent="0.3">
      <c r="A46" s="10" t="s">
        <v>161</v>
      </c>
      <c r="B46" s="10" t="s">
        <v>32</v>
      </c>
      <c r="C46" s="10" t="s">
        <v>67</v>
      </c>
      <c r="D46" s="10">
        <v>0.1</v>
      </c>
      <c r="E46" s="10">
        <v>610</v>
      </c>
      <c r="F46" s="10">
        <v>61</v>
      </c>
    </row>
    <row r="47" spans="1:6" x14ac:dyDescent="0.3">
      <c r="A47" s="10" t="s">
        <v>161</v>
      </c>
      <c r="B47" s="10" t="s">
        <v>108</v>
      </c>
      <c r="C47" s="10" t="s">
        <v>67</v>
      </c>
      <c r="D47" s="10">
        <v>1</v>
      </c>
      <c r="E47" s="10">
        <v>250</v>
      </c>
      <c r="F47" s="10">
        <v>250</v>
      </c>
    </row>
    <row r="48" spans="1:6" x14ac:dyDescent="0.3">
      <c r="A48" s="10" t="s">
        <v>158</v>
      </c>
      <c r="B48" s="10" t="s">
        <v>144</v>
      </c>
      <c r="C48" s="10" t="s">
        <v>67</v>
      </c>
      <c r="D48" s="10">
        <v>1</v>
      </c>
      <c r="E48" s="10">
        <v>450</v>
      </c>
      <c r="F48" s="10">
        <v>450</v>
      </c>
    </row>
    <row r="49" spans="1:6" x14ac:dyDescent="0.3">
      <c r="A49" s="10" t="s">
        <v>158</v>
      </c>
      <c r="B49" s="10" t="s">
        <v>89</v>
      </c>
      <c r="C49" s="10" t="s">
        <v>67</v>
      </c>
      <c r="D49" s="10">
        <v>1</v>
      </c>
      <c r="E49" s="10">
        <v>700</v>
      </c>
      <c r="F49" s="10">
        <v>700</v>
      </c>
    </row>
    <row r="50" spans="1:6" x14ac:dyDescent="0.3">
      <c r="A50" s="10"/>
      <c r="B50" s="10" t="s">
        <v>205</v>
      </c>
      <c r="C50" s="10"/>
      <c r="D50" s="10"/>
      <c r="E50" s="10"/>
      <c r="F50" s="10"/>
    </row>
    <row r="51" spans="1:6" x14ac:dyDescent="0.3">
      <c r="A51" s="10"/>
      <c r="B51" s="10" t="s">
        <v>206</v>
      </c>
      <c r="C51" s="10"/>
      <c r="D51" s="10"/>
      <c r="E51" s="10"/>
      <c r="F51" s="10"/>
    </row>
    <row r="52" spans="1:6" x14ac:dyDescent="0.3">
      <c r="A52" s="10"/>
      <c r="B52" s="10" t="s">
        <v>190</v>
      </c>
      <c r="C52" s="10"/>
      <c r="D52" s="10"/>
      <c r="E52" s="10"/>
      <c r="F52" s="10"/>
    </row>
    <row r="53" spans="1:6" x14ac:dyDescent="0.3">
      <c r="A53" s="10"/>
      <c r="B53" s="10" t="s">
        <v>191</v>
      </c>
      <c r="C53" s="10"/>
      <c r="D53" s="10"/>
      <c r="E53" s="10"/>
      <c r="F53" s="10"/>
    </row>
    <row r="54" spans="1:6" x14ac:dyDescent="0.3">
      <c r="A54" s="10"/>
      <c r="B54" s="10" t="s">
        <v>194</v>
      </c>
      <c r="C54" s="10" t="s">
        <v>22</v>
      </c>
      <c r="D54" s="10">
        <v>0.1</v>
      </c>
      <c r="E54" s="10"/>
      <c r="F54" s="10"/>
    </row>
    <row r="55" spans="1:6" x14ac:dyDescent="0.3">
      <c r="A55" s="10"/>
      <c r="B55" s="10" t="s">
        <v>32</v>
      </c>
      <c r="C55" s="10" t="s">
        <v>25</v>
      </c>
      <c r="D55" s="10">
        <v>2</v>
      </c>
      <c r="E55" s="10"/>
      <c r="F55" s="10"/>
    </row>
    <row r="56" spans="1:6" x14ac:dyDescent="0.3">
      <c r="A56" s="10"/>
      <c r="B56" s="10" t="s">
        <v>31</v>
      </c>
      <c r="C56" s="10" t="s">
        <v>22</v>
      </c>
      <c r="D56" s="10">
        <v>0.6</v>
      </c>
      <c r="E56" s="10"/>
      <c r="F56" s="10"/>
    </row>
    <row r="57" spans="1:6" x14ac:dyDescent="0.3">
      <c r="A57" s="10"/>
      <c r="B57" s="10" t="s">
        <v>184</v>
      </c>
      <c r="C57" s="10" t="s">
        <v>24</v>
      </c>
      <c r="D57" s="10">
        <v>2</v>
      </c>
      <c r="E57" s="10"/>
      <c r="F57" s="10"/>
    </row>
    <row r="58" spans="1:6" x14ac:dyDescent="0.3">
      <c r="A58" s="10"/>
      <c r="B58" s="10" t="s">
        <v>183</v>
      </c>
      <c r="C58" s="10" t="s">
        <v>24</v>
      </c>
      <c r="D58" s="10">
        <v>12</v>
      </c>
      <c r="E58" s="10"/>
      <c r="F58" s="10"/>
    </row>
    <row r="59" spans="1:6" x14ac:dyDescent="0.3">
      <c r="A59" s="10"/>
      <c r="B59" s="10" t="s">
        <v>182</v>
      </c>
      <c r="C59" s="10" t="s">
        <v>24</v>
      </c>
      <c r="D59" s="10">
        <v>12</v>
      </c>
      <c r="E59" s="10"/>
      <c r="F59" s="10"/>
    </row>
    <row r="60" spans="1:6" x14ac:dyDescent="0.3">
      <c r="A60" s="10"/>
      <c r="B60" s="10"/>
      <c r="C60" s="10"/>
      <c r="D60" s="10"/>
      <c r="E60" s="10"/>
      <c r="F60" s="10">
        <f>SUBTOTAL(109,Անհրաժեշտ_բաղադրիչների_ցանկ_և_գներ[Գումար])</f>
        <v>30393.5</v>
      </c>
    </row>
  </sheetData>
  <phoneticPr fontId="15" type="noConversion"/>
  <pageMargins left="0.7" right="0.7" top="0.75" bottom="0.75" header="0.3" footer="0.3"/>
  <pageSetup scale="80" orientation="portrait" horizontalDpi="4294967293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B443A-C6F8-4015-B312-14E78927396C}">
  <sheetPr codeName="Sheet4"/>
  <dimension ref="B2:G8"/>
  <sheetViews>
    <sheetView workbookViewId="0">
      <selection activeCell="F13" sqref="F13"/>
    </sheetView>
  </sheetViews>
  <sheetFormatPr defaultRowHeight="15.6" x14ac:dyDescent="0.3"/>
  <cols>
    <col min="2" max="2" width="13" customWidth="1"/>
    <col min="3" max="6" width="10.33203125" customWidth="1"/>
    <col min="7" max="7" width="17.33203125" customWidth="1"/>
  </cols>
  <sheetData>
    <row r="2" spans="2:7" x14ac:dyDescent="0.3">
      <c r="B2" s="9" t="s">
        <v>134</v>
      </c>
      <c r="C2" s="9" t="s">
        <v>135</v>
      </c>
      <c r="D2" s="9" t="s">
        <v>136</v>
      </c>
      <c r="E2" s="9" t="s">
        <v>137</v>
      </c>
      <c r="F2" s="9" t="s">
        <v>138</v>
      </c>
      <c r="G2" s="9" t="s">
        <v>139</v>
      </c>
    </row>
    <row r="3" spans="2:7" ht="36" customHeight="1" x14ac:dyDescent="0.3">
      <c r="B3" s="9" t="s">
        <v>129</v>
      </c>
      <c r="C3" s="9" t="s">
        <v>132</v>
      </c>
      <c r="D3" s="9" t="s">
        <v>86</v>
      </c>
      <c r="E3" s="9" t="s">
        <v>121</v>
      </c>
      <c r="F3" s="9" t="s">
        <v>120</v>
      </c>
      <c r="G3" s="9" t="str">
        <f>Table26[[#This Row],[Կոմբո]]&amp;" "&amp;Table26[[#This Row],[Բաղադրիչ 1]]&amp;" "&amp;Table26[[#This Row],[Բաղադրիչ 2]]&amp;" "&amp;Table26[[#This Row],[Բաղադրիչ 3]]&amp;" "&amp;Table26[[#This Row],[Բաղադրիչ 4]]</f>
        <v>Ընդմիջում 1 պանրով բուտերբրոդ փանքեյք կիվի կոնֆետ</v>
      </c>
    </row>
    <row r="4" spans="2:7" ht="30.6" x14ac:dyDescent="0.3">
      <c r="B4" s="9" t="s">
        <v>185</v>
      </c>
      <c r="C4" s="9" t="s">
        <v>132</v>
      </c>
      <c r="D4" s="9" t="s">
        <v>133</v>
      </c>
      <c r="E4" s="9" t="s">
        <v>178</v>
      </c>
      <c r="F4" s="9" t="s">
        <v>120</v>
      </c>
      <c r="G4" s="9" t="str">
        <f>Table26[[#This Row],[Կոմբո]]&amp;" "&amp;Table26[[#This Row],[Բաղադրիչ 1]]&amp;" "&amp;Table26[[#This Row],[Բաղադրիչ 2]]&amp;" "&amp;Table26[[#This Row],[Բաղադրիչ 3]]&amp;" "&amp;Table26[[#This Row],[Բաղադրիչ 4]]</f>
        <v>Ընդմիջում 2 պանրով բուտերբրոդ թխվածք վարունգ կոնֆետ</v>
      </c>
    </row>
    <row r="5" spans="2:7" ht="30.6" x14ac:dyDescent="0.3">
      <c r="B5" s="9" t="s">
        <v>187</v>
      </c>
      <c r="C5" s="9" t="s">
        <v>132</v>
      </c>
      <c r="D5" s="9" t="s">
        <v>188</v>
      </c>
      <c r="E5" s="9" t="s">
        <v>114</v>
      </c>
      <c r="F5" s="9" t="s">
        <v>120</v>
      </c>
      <c r="G5" s="9" t="str">
        <f>Table26[[#This Row],[Կոմբո]]&amp;" "&amp;Table26[[#This Row],[Բաղադրիչ 1]]&amp;" "&amp;Table26[[#This Row],[Բաղադրիչ 2]]&amp;" "&amp;Table26[[#This Row],[Բաղադրիչ 3]]&amp;" "&amp;Table26[[#This Row],[Բաղադրիչ 4]]</f>
        <v>Ընդմիջում 3 պանրով բուտերբրոդ ռուլետ բանան կոնֆետ</v>
      </c>
    </row>
    <row r="6" spans="2:7" ht="62.4" x14ac:dyDescent="0.3">
      <c r="B6" s="9" t="s">
        <v>199</v>
      </c>
      <c r="C6" t="s">
        <v>198</v>
      </c>
      <c r="D6" s="9" t="s">
        <v>195</v>
      </c>
      <c r="E6" s="9" t="s">
        <v>35</v>
      </c>
      <c r="F6" s="9" t="s">
        <v>120</v>
      </c>
      <c r="G6" s="9" t="str">
        <f>Table26[[#This Row],[Կոմբո]]&amp;" "&amp;Table26[[#This Row],[Բաղադրիչ 1]]&amp;" "&amp;Table26[[#This Row],[Բաղադրիչ 2]]&amp;" "&amp;Table26[[#This Row],[Բաղադրիչ 3]]&amp;" "&amp;Table26[[#This Row],[Բաղադրիչ 4]]</f>
        <v>Ընդմիջում 4 հավի կոտլետ բուտերբրոդ սիրնիկներ գազար կոնֆետ</v>
      </c>
    </row>
    <row r="7" spans="2:7" ht="30.6" x14ac:dyDescent="0.3">
      <c r="B7" s="9" t="s">
        <v>201</v>
      </c>
      <c r="C7" s="9" t="s">
        <v>200</v>
      </c>
      <c r="D7" s="9" t="s">
        <v>133</v>
      </c>
      <c r="E7" s="9" t="s">
        <v>113</v>
      </c>
      <c r="F7" s="9" t="s">
        <v>120</v>
      </c>
      <c r="G7" s="9" t="str">
        <f>Table26[[#This Row],[Կոմբո]]&amp;" "&amp;Table26[[#This Row],[Բաղադրիչ 1]]&amp;" "&amp;Table26[[#This Row],[Բաղադրիչ 2]]&amp;" "&amp;Table26[[#This Row],[Բաղադրիչ 3]]&amp;" "&amp;Table26[[#This Row],[Բաղադրիչ 4]]</f>
        <v>Ընդմիջում 5 հավով նրբերշիկով բուտերբրոդ թխվածք նարինջ կոնֆետ</v>
      </c>
    </row>
    <row r="8" spans="2:7" ht="20.399999999999999" x14ac:dyDescent="0.3">
      <c r="B8" s="9" t="s">
        <v>202</v>
      </c>
      <c r="C8" s="9" t="s">
        <v>63</v>
      </c>
      <c r="D8" s="9" t="s">
        <v>133</v>
      </c>
      <c r="E8" s="9" t="s">
        <v>121</v>
      </c>
      <c r="F8" s="9" t="s">
        <v>120</v>
      </c>
      <c r="G8" s="9" t="str">
        <f>Table26[[#This Row],[Կոմբո]]&amp;" "&amp;Table26[[#This Row],[Բաղադրիչ 1]]&amp;" "&amp;Table26[[#This Row],[Բաղադրիչ 2]]&amp;" "&amp;Table26[[#This Row],[Բաղադրիչ 3]]&amp;" "&amp;Table26[[#This Row],[Բաղադրիչ 4]]</f>
        <v>Ընդմիջում 6 պիցցա թխվածք կիվի կոնֆետ</v>
      </c>
    </row>
  </sheetData>
  <phoneticPr fontId="15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642CF5B-5719-45C8-9BD7-15B092DFE665}">
          <x14:formula1>
            <xm:f>ցանկ!$I$2:$I$59</xm:f>
          </x14:formula1>
          <xm:sqref>G2 C3:F8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B220-D8B5-4D55-A719-B79F0222BABB}">
  <sheetPr codeName="Sheet5"/>
  <dimension ref="B1:L81"/>
  <sheetViews>
    <sheetView topLeftCell="A20" zoomScale="85" zoomScaleNormal="85" workbookViewId="0">
      <selection activeCell="B29" sqref="B29:E29"/>
    </sheetView>
  </sheetViews>
  <sheetFormatPr defaultRowHeight="15.6" x14ac:dyDescent="0.3"/>
  <cols>
    <col min="2" max="2" width="18.4140625" customWidth="1"/>
    <col min="3" max="3" width="21.4140625" customWidth="1"/>
    <col min="4" max="4" width="9.08203125" customWidth="1"/>
    <col min="8" max="8" width="28.58203125" customWidth="1"/>
    <col min="10" max="10" width="22.5" customWidth="1"/>
    <col min="12" max="12" width="18.58203125" customWidth="1"/>
  </cols>
  <sheetData>
    <row r="1" spans="2:12" ht="31.2" x14ac:dyDescent="0.3">
      <c r="B1" t="s">
        <v>153</v>
      </c>
      <c r="C1" t="s">
        <v>115</v>
      </c>
      <c r="D1" t="s">
        <v>128</v>
      </c>
      <c r="E1" t="s">
        <v>127</v>
      </c>
    </row>
    <row r="2" spans="2:12" x14ac:dyDescent="0.3">
      <c r="B2" s="6" t="s">
        <v>156</v>
      </c>
      <c r="C2" s="6" t="s">
        <v>23</v>
      </c>
      <c r="D2" s="6" t="s">
        <v>22</v>
      </c>
      <c r="E2" s="6">
        <v>200</v>
      </c>
      <c r="H2" t="s">
        <v>153</v>
      </c>
    </row>
    <row r="3" spans="2:12" x14ac:dyDescent="0.3">
      <c r="B3" s="6" t="s">
        <v>156</v>
      </c>
      <c r="C3" s="6" t="s">
        <v>26</v>
      </c>
      <c r="D3" s="6" t="s">
        <v>22</v>
      </c>
      <c r="E3" s="6">
        <v>150</v>
      </c>
      <c r="H3" t="s">
        <v>154</v>
      </c>
      <c r="J3" t="s">
        <v>209</v>
      </c>
      <c r="L3" t="str">
        <f>_xlfn.TRANSLATE(Խումբ[[#This Row],[Խումբ]],"hy","en")</f>
        <v>Vegetables</v>
      </c>
    </row>
    <row r="4" spans="2:12" x14ac:dyDescent="0.3">
      <c r="B4" s="6" t="s">
        <v>157</v>
      </c>
      <c r="C4" s="6" t="s">
        <v>141</v>
      </c>
      <c r="D4" s="6" t="s">
        <v>24</v>
      </c>
      <c r="E4" s="6">
        <v>210</v>
      </c>
      <c r="H4" t="s">
        <v>155</v>
      </c>
      <c r="J4" t="s">
        <v>210</v>
      </c>
      <c r="L4" t="str">
        <f>_xlfn.TRANSLATE(Խումբ[[#This Row],[Խումբ]],"hy","en")</f>
        <v>Fruit</v>
      </c>
    </row>
    <row r="5" spans="2:12" x14ac:dyDescent="0.3">
      <c r="B5" s="6" t="s">
        <v>154</v>
      </c>
      <c r="C5" s="6" t="s">
        <v>149</v>
      </c>
      <c r="D5" s="6" t="s">
        <v>24</v>
      </c>
      <c r="E5" s="6">
        <v>580</v>
      </c>
      <c r="H5" t="s">
        <v>159</v>
      </c>
      <c r="J5" t="s">
        <v>216</v>
      </c>
      <c r="L5" t="str">
        <f>_xlfn.TRANSLATE(Խումբ[[#This Row],[Խումբ]],"hy","en")</f>
        <v>Meat, fish, chicken</v>
      </c>
    </row>
    <row r="6" spans="2:12" x14ac:dyDescent="0.3">
      <c r="B6" s="6" t="s">
        <v>154</v>
      </c>
      <c r="C6" s="6" t="s">
        <v>55</v>
      </c>
      <c r="D6" s="6" t="s">
        <v>22</v>
      </c>
      <c r="E6" s="6">
        <v>250</v>
      </c>
      <c r="H6" t="s">
        <v>156</v>
      </c>
      <c r="J6" t="s">
        <v>211</v>
      </c>
      <c r="L6" t="str">
        <f>_xlfn.TRANSLATE("նպարեղեն","hy","en")</f>
        <v>[ Picture on page 15]</v>
      </c>
    </row>
    <row r="7" spans="2:12" x14ac:dyDescent="0.3">
      <c r="B7" s="6" t="s">
        <v>155</v>
      </c>
      <c r="C7" s="6" t="s">
        <v>114</v>
      </c>
      <c r="D7" s="6" t="s">
        <v>22</v>
      </c>
      <c r="E7" s="6">
        <v>550</v>
      </c>
      <c r="H7" t="s">
        <v>160</v>
      </c>
      <c r="J7" t="s">
        <v>217</v>
      </c>
      <c r="L7" t="str">
        <f>_xlfn.TRANSLATE(Խումբ[[#This Row],[Խումբ]],"hy","en")</f>
        <v>Dairy products, eggs</v>
      </c>
    </row>
    <row r="8" spans="2:12" x14ac:dyDescent="0.3">
      <c r="B8" s="6" t="s">
        <v>156</v>
      </c>
      <c r="C8" s="6" t="s">
        <v>48</v>
      </c>
      <c r="D8" s="6" t="s">
        <v>85</v>
      </c>
      <c r="E8" s="6">
        <v>750</v>
      </c>
      <c r="H8" t="s">
        <v>157</v>
      </c>
      <c r="J8" t="s">
        <v>212</v>
      </c>
      <c r="L8" t="str">
        <f>_xlfn.TRANSLATE(Խումբ[[#This Row],[Խումբ]],"hy","en")</f>
        <v>Bakery</v>
      </c>
    </row>
    <row r="9" spans="2:12" x14ac:dyDescent="0.3">
      <c r="B9" s="6" t="s">
        <v>156</v>
      </c>
      <c r="C9" s="6" t="s">
        <v>34</v>
      </c>
      <c r="D9" s="6" t="s">
        <v>22</v>
      </c>
      <c r="E9" s="6">
        <v>740</v>
      </c>
      <c r="H9" t="s">
        <v>158</v>
      </c>
      <c r="J9" t="s">
        <v>218</v>
      </c>
      <c r="L9" t="str">
        <f>_xlfn.TRANSLATE(Խումբ[[#This Row],[Խումբ]],"hy","en")</f>
        <v>Ready Dishes</v>
      </c>
    </row>
    <row r="10" spans="2:12" x14ac:dyDescent="0.3">
      <c r="B10" s="6" t="s">
        <v>154</v>
      </c>
      <c r="C10" s="6" t="s">
        <v>44</v>
      </c>
      <c r="D10" s="6" t="s">
        <v>22</v>
      </c>
      <c r="E10" s="6">
        <v>500</v>
      </c>
      <c r="H10" t="s">
        <v>161</v>
      </c>
      <c r="J10" t="s">
        <v>219</v>
      </c>
    </row>
    <row r="11" spans="2:12" x14ac:dyDescent="0.3">
      <c r="B11" s="6" t="s">
        <v>154</v>
      </c>
      <c r="C11" s="6" t="s">
        <v>35</v>
      </c>
      <c r="D11" s="6" t="s">
        <v>22</v>
      </c>
      <c r="E11" s="6">
        <v>350</v>
      </c>
      <c r="H11" t="s">
        <v>162</v>
      </c>
      <c r="J11" t="s">
        <v>220</v>
      </c>
      <c r="L11" t="str">
        <f>_xlfn.TRANSLATE(Խումբ[[#This Row],[Խումբ]],"hy","en")</f>
        <v>Household Chemistry</v>
      </c>
    </row>
    <row r="12" spans="2:12" x14ac:dyDescent="0.3">
      <c r="B12" s="6" t="s">
        <v>157</v>
      </c>
      <c r="C12" s="6" t="s">
        <v>117</v>
      </c>
      <c r="D12" s="6" t="s">
        <v>24</v>
      </c>
      <c r="E12" s="6">
        <v>700</v>
      </c>
      <c r="H12" t="s">
        <v>163</v>
      </c>
      <c r="J12" t="s">
        <v>221</v>
      </c>
      <c r="L12" t="str">
        <f>_xlfn.TRANSLATE(Խումբ[[#This Row],[Խումբ]],"hy","en")</f>
        <v>Hygiene, care</v>
      </c>
    </row>
    <row r="13" spans="2:12" x14ac:dyDescent="0.3">
      <c r="B13" s="6" t="s">
        <v>154</v>
      </c>
      <c r="C13" s="6" t="s">
        <v>147</v>
      </c>
      <c r="D13" s="6" t="s">
        <v>22</v>
      </c>
      <c r="E13" s="6">
        <v>350</v>
      </c>
      <c r="H13" t="s">
        <v>164</v>
      </c>
      <c r="J13" t="s">
        <v>222</v>
      </c>
      <c r="L13" t="str">
        <f>_xlfn.TRANSLATE(Խումբ[[#This Row],[Խումբ]],"hy","en")</f>
        <v>For Animals</v>
      </c>
    </row>
    <row r="14" spans="2:12" x14ac:dyDescent="0.3">
      <c r="B14" s="6" t="s">
        <v>156</v>
      </c>
      <c r="C14" s="6" t="s">
        <v>193</v>
      </c>
      <c r="D14" s="6" t="s">
        <v>22</v>
      </c>
      <c r="E14" s="6">
        <v>1650</v>
      </c>
      <c r="H14" t="s">
        <v>165</v>
      </c>
      <c r="J14" t="s">
        <v>213</v>
      </c>
      <c r="L14" t="str">
        <f>_xlfn.TRANSLATE(Խումբ[[#This Row],[Խումբ]],"hy","en")</f>
        <v>Green</v>
      </c>
    </row>
    <row r="15" spans="2:12" x14ac:dyDescent="0.3">
      <c r="B15" s="6" t="s">
        <v>161</v>
      </c>
      <c r="C15" s="6" t="s">
        <v>101</v>
      </c>
      <c r="D15" s="6" t="s">
        <v>67</v>
      </c>
      <c r="E15" s="6">
        <v>470</v>
      </c>
      <c r="H15" t="s">
        <v>168</v>
      </c>
      <c r="J15" t="s">
        <v>214</v>
      </c>
      <c r="L15" t="str">
        <f>_xlfn.TRANSLATE(Խումբ[[#This Row],[Խումբ]],"hy","en")</f>
        <v>Drink</v>
      </c>
    </row>
    <row r="16" spans="2:12" x14ac:dyDescent="0.3">
      <c r="B16" s="6" t="s">
        <v>166</v>
      </c>
      <c r="C16" s="6" t="s">
        <v>64</v>
      </c>
      <c r="D16" s="6" t="s">
        <v>22</v>
      </c>
      <c r="E16" s="6">
        <v>1990</v>
      </c>
      <c r="H16" t="s">
        <v>166</v>
      </c>
      <c r="J16" t="s">
        <v>215</v>
      </c>
      <c r="L16" t="str">
        <f>_xlfn.TRANSLATE(Խումբ[[#This Row],[Խումբ]],"hy","en")</f>
        <v>Sausages</v>
      </c>
    </row>
    <row r="17" spans="2:12" x14ac:dyDescent="0.3">
      <c r="B17" s="6" t="s">
        <v>166</v>
      </c>
      <c r="C17" s="6" t="s">
        <v>66</v>
      </c>
      <c r="D17" s="6" t="s">
        <v>22</v>
      </c>
      <c r="E17" s="6">
        <v>3590</v>
      </c>
      <c r="H17" t="s">
        <v>167</v>
      </c>
      <c r="J17" t="s">
        <v>223</v>
      </c>
      <c r="L17" t="str">
        <f>_xlfn.TRANSLATE(Խումբ[[#This Row],[Խումբ]],"hy","en")</f>
        <v>[ Picture on page 15]</v>
      </c>
    </row>
    <row r="18" spans="2:12" x14ac:dyDescent="0.3">
      <c r="B18" s="6" t="s">
        <v>167</v>
      </c>
      <c r="C18" s="6" t="s">
        <v>56</v>
      </c>
      <c r="D18" s="6" t="s">
        <v>24</v>
      </c>
      <c r="E18" s="6">
        <v>10</v>
      </c>
    </row>
    <row r="19" spans="2:12" x14ac:dyDescent="0.3">
      <c r="B19" s="6" t="s">
        <v>160</v>
      </c>
      <c r="C19" s="6" t="s">
        <v>47</v>
      </c>
      <c r="D19" s="6" t="s">
        <v>67</v>
      </c>
      <c r="E19" s="6">
        <v>710</v>
      </c>
    </row>
    <row r="20" spans="2:12" x14ac:dyDescent="0.3">
      <c r="B20" s="6" t="s">
        <v>159</v>
      </c>
      <c r="C20" s="6" t="s">
        <v>80</v>
      </c>
      <c r="D20" s="6" t="s">
        <v>22</v>
      </c>
      <c r="E20" s="6">
        <v>3300</v>
      </c>
    </row>
    <row r="21" spans="2:12" x14ac:dyDescent="0.3">
      <c r="B21" s="6" t="s">
        <v>157</v>
      </c>
      <c r="C21" s="6" t="s">
        <v>75</v>
      </c>
      <c r="D21" s="6" t="s">
        <v>24</v>
      </c>
      <c r="E21" s="6">
        <v>230</v>
      </c>
    </row>
    <row r="22" spans="2:12" x14ac:dyDescent="0.3">
      <c r="B22" s="6" t="s">
        <v>154</v>
      </c>
      <c r="C22" s="6" t="s">
        <v>69</v>
      </c>
      <c r="D22" s="6" t="s">
        <v>22</v>
      </c>
      <c r="E22" s="6">
        <v>400</v>
      </c>
    </row>
    <row r="23" spans="2:12" x14ac:dyDescent="0.3">
      <c r="B23" s="6" t="s">
        <v>154</v>
      </c>
      <c r="C23" s="6" t="s">
        <v>60</v>
      </c>
      <c r="D23" s="6" t="s">
        <v>22</v>
      </c>
      <c r="E23" s="6">
        <v>2550</v>
      </c>
    </row>
    <row r="24" spans="2:12" x14ac:dyDescent="0.3">
      <c r="B24" s="6" t="s">
        <v>155</v>
      </c>
      <c r="C24" s="6" t="s">
        <v>112</v>
      </c>
      <c r="D24" s="6" t="s">
        <v>22</v>
      </c>
      <c r="E24" s="6">
        <v>300</v>
      </c>
    </row>
    <row r="25" spans="2:12" x14ac:dyDescent="0.3">
      <c r="B25" s="6" t="s">
        <v>154</v>
      </c>
      <c r="C25" s="6" t="s">
        <v>45</v>
      </c>
      <c r="D25" s="6" t="s">
        <v>22</v>
      </c>
      <c r="E25" s="6">
        <v>600</v>
      </c>
    </row>
    <row r="26" spans="2:12" x14ac:dyDescent="0.3">
      <c r="B26" s="6" t="s">
        <v>160</v>
      </c>
      <c r="C26" s="6" t="s">
        <v>84</v>
      </c>
      <c r="D26" s="6" t="s">
        <v>85</v>
      </c>
      <c r="E26" s="6">
        <v>550</v>
      </c>
    </row>
    <row r="27" spans="2:12" x14ac:dyDescent="0.3">
      <c r="B27" s="6" t="s">
        <v>160</v>
      </c>
      <c r="C27" s="6" t="s">
        <v>77</v>
      </c>
      <c r="D27" s="6" t="s">
        <v>67</v>
      </c>
      <c r="E27" s="6">
        <v>600</v>
      </c>
    </row>
    <row r="28" spans="2:12" x14ac:dyDescent="0.3">
      <c r="B28" s="6" t="s">
        <v>154</v>
      </c>
      <c r="C28" s="6" t="s">
        <v>51</v>
      </c>
      <c r="D28" s="6" t="s">
        <v>22</v>
      </c>
      <c r="E28" s="6">
        <v>250</v>
      </c>
    </row>
    <row r="29" spans="2:12" x14ac:dyDescent="0.3">
      <c r="B29" s="6" t="s">
        <v>165</v>
      </c>
      <c r="C29" s="6" t="s">
        <v>52</v>
      </c>
      <c r="D29" s="6" t="s">
        <v>53</v>
      </c>
      <c r="E29" s="6">
        <v>250</v>
      </c>
    </row>
    <row r="30" spans="2:12" x14ac:dyDescent="0.3">
      <c r="B30" s="6" t="s">
        <v>160</v>
      </c>
      <c r="C30" s="6" t="s">
        <v>74</v>
      </c>
      <c r="D30" s="6" t="s">
        <v>22</v>
      </c>
      <c r="E30" s="6">
        <v>6250</v>
      </c>
    </row>
    <row r="31" spans="2:12" x14ac:dyDescent="0.3">
      <c r="B31" s="6" t="s">
        <v>156</v>
      </c>
      <c r="C31" s="6" t="s">
        <v>83</v>
      </c>
      <c r="D31" s="6" t="s">
        <v>22</v>
      </c>
      <c r="E31" s="6">
        <v>1200</v>
      </c>
    </row>
    <row r="32" spans="2:12" x14ac:dyDescent="0.3">
      <c r="B32" s="6" t="s">
        <v>154</v>
      </c>
      <c r="C32" s="6" t="s">
        <v>43</v>
      </c>
      <c r="D32" s="6" t="s">
        <v>22</v>
      </c>
      <c r="E32" s="6">
        <v>180</v>
      </c>
    </row>
    <row r="33" spans="2:5" x14ac:dyDescent="0.3">
      <c r="B33" s="6" t="s">
        <v>155</v>
      </c>
      <c r="C33" s="6" t="s">
        <v>121</v>
      </c>
      <c r="D33" s="6" t="s">
        <v>22</v>
      </c>
      <c r="E33" s="6">
        <v>1060</v>
      </c>
    </row>
    <row r="34" spans="2:5" x14ac:dyDescent="0.3">
      <c r="B34" s="6" t="s">
        <v>155</v>
      </c>
      <c r="C34" s="6" t="s">
        <v>49</v>
      </c>
      <c r="D34" s="6" t="s">
        <v>24</v>
      </c>
      <c r="E34" s="6">
        <v>150</v>
      </c>
    </row>
    <row r="35" spans="2:5" x14ac:dyDescent="0.3">
      <c r="B35" s="6" t="s">
        <v>158</v>
      </c>
      <c r="C35" s="6" t="s">
        <v>144</v>
      </c>
      <c r="D35" s="6" t="s">
        <v>67</v>
      </c>
      <c r="E35" s="6">
        <v>450</v>
      </c>
    </row>
    <row r="36" spans="2:5" x14ac:dyDescent="0.3">
      <c r="B36" s="6" t="s">
        <v>165</v>
      </c>
      <c r="C36" s="6" t="s">
        <v>61</v>
      </c>
      <c r="D36" s="6" t="s">
        <v>53</v>
      </c>
      <c r="E36" s="6">
        <v>400</v>
      </c>
    </row>
    <row r="37" spans="2:5" x14ac:dyDescent="0.3">
      <c r="B37" s="6" t="s">
        <v>159</v>
      </c>
      <c r="C37" s="6" t="s">
        <v>106</v>
      </c>
      <c r="D37" s="6" t="s">
        <v>22</v>
      </c>
      <c r="E37" s="6">
        <v>1300</v>
      </c>
    </row>
    <row r="38" spans="2:5" x14ac:dyDescent="0.3">
      <c r="B38" s="6" t="s">
        <v>159</v>
      </c>
      <c r="C38" s="6" t="s">
        <v>39</v>
      </c>
      <c r="D38" s="6" t="s">
        <v>22</v>
      </c>
      <c r="E38" s="6">
        <v>1400</v>
      </c>
    </row>
    <row r="39" spans="2:5" x14ac:dyDescent="0.3">
      <c r="B39" s="6" t="s">
        <v>157</v>
      </c>
      <c r="C39" s="6" t="s">
        <v>142</v>
      </c>
      <c r="D39" s="6" t="s">
        <v>24</v>
      </c>
      <c r="E39" s="6">
        <v>120</v>
      </c>
    </row>
    <row r="40" spans="2:5" x14ac:dyDescent="0.3">
      <c r="B40" s="6" t="s">
        <v>157</v>
      </c>
      <c r="C40" s="6" t="s">
        <v>119</v>
      </c>
      <c r="D40" s="6" t="s">
        <v>24</v>
      </c>
      <c r="E40" s="6">
        <v>160</v>
      </c>
    </row>
    <row r="41" spans="2:5" x14ac:dyDescent="0.3">
      <c r="B41" s="6" t="s">
        <v>157</v>
      </c>
      <c r="C41" s="6" t="s">
        <v>59</v>
      </c>
      <c r="D41" s="6" t="s">
        <v>24</v>
      </c>
      <c r="E41" s="6">
        <v>90</v>
      </c>
    </row>
    <row r="42" spans="2:5" x14ac:dyDescent="0.3">
      <c r="B42" s="6" t="s">
        <v>157</v>
      </c>
      <c r="C42" s="6" t="s">
        <v>125</v>
      </c>
      <c r="D42" s="6" t="s">
        <v>24</v>
      </c>
      <c r="E42" s="6">
        <v>400</v>
      </c>
    </row>
    <row r="43" spans="2:5" x14ac:dyDescent="0.3">
      <c r="B43" s="6" t="s">
        <v>156</v>
      </c>
      <c r="C43" s="6" t="s">
        <v>180</v>
      </c>
      <c r="D43" s="6" t="s">
        <v>22</v>
      </c>
      <c r="E43" s="6">
        <v>400</v>
      </c>
    </row>
    <row r="44" spans="2:5" x14ac:dyDescent="0.3">
      <c r="B44" s="6" t="s">
        <v>158</v>
      </c>
      <c r="C44" s="6" t="s">
        <v>89</v>
      </c>
      <c r="D44" s="6" t="s">
        <v>67</v>
      </c>
      <c r="E44" s="6">
        <v>700</v>
      </c>
    </row>
    <row r="45" spans="2:5" x14ac:dyDescent="0.3">
      <c r="B45" s="6" t="s">
        <v>156</v>
      </c>
      <c r="C45" s="6" t="s">
        <v>175</v>
      </c>
      <c r="D45" s="6" t="s">
        <v>22</v>
      </c>
      <c r="E45" s="6">
        <v>500</v>
      </c>
    </row>
    <row r="46" spans="2:5" x14ac:dyDescent="0.3">
      <c r="B46" s="6" t="s">
        <v>161</v>
      </c>
      <c r="C46" s="6" t="s">
        <v>68</v>
      </c>
      <c r="D46" s="6" t="s">
        <v>67</v>
      </c>
      <c r="E46" s="6">
        <v>600</v>
      </c>
    </row>
    <row r="47" spans="2:5" x14ac:dyDescent="0.3">
      <c r="B47" s="6" t="s">
        <v>160</v>
      </c>
      <c r="C47" s="6" t="s">
        <v>107</v>
      </c>
      <c r="D47" s="6" t="s">
        <v>24</v>
      </c>
      <c r="E47" s="6">
        <v>70</v>
      </c>
    </row>
    <row r="48" spans="2:5" x14ac:dyDescent="0.3">
      <c r="B48" s="6" t="s">
        <v>159</v>
      </c>
      <c r="C48" s="6" t="s">
        <v>79</v>
      </c>
      <c r="D48" s="6" t="s">
        <v>22</v>
      </c>
      <c r="E48" s="6">
        <v>3300</v>
      </c>
    </row>
    <row r="49" spans="2:5" x14ac:dyDescent="0.3">
      <c r="B49" s="6" t="s">
        <v>160</v>
      </c>
      <c r="C49" s="6" t="s">
        <v>111</v>
      </c>
      <c r="D49" s="6" t="s">
        <v>22</v>
      </c>
      <c r="E49" s="6">
        <v>400</v>
      </c>
    </row>
    <row r="50" spans="2:5" x14ac:dyDescent="0.3">
      <c r="B50" s="6" t="s">
        <v>156</v>
      </c>
      <c r="C50" s="6" t="s">
        <v>124</v>
      </c>
      <c r="D50" s="6" t="s">
        <v>67</v>
      </c>
      <c r="E50" s="6">
        <v>590</v>
      </c>
    </row>
    <row r="51" spans="2:5" x14ac:dyDescent="0.3">
      <c r="B51" s="6" t="s">
        <v>159</v>
      </c>
      <c r="C51" s="6" t="s">
        <v>18</v>
      </c>
      <c r="D51" s="6" t="s">
        <v>22</v>
      </c>
      <c r="E51" s="6">
        <v>4500</v>
      </c>
    </row>
    <row r="52" spans="2:5" x14ac:dyDescent="0.3">
      <c r="B52" s="6" t="s">
        <v>155</v>
      </c>
      <c r="C52" s="6" t="s">
        <v>113</v>
      </c>
      <c r="D52" s="6" t="s">
        <v>22</v>
      </c>
      <c r="E52" s="6">
        <v>500</v>
      </c>
    </row>
    <row r="53" spans="2:5" x14ac:dyDescent="0.3">
      <c r="B53" s="6" t="s">
        <v>155</v>
      </c>
      <c r="C53" s="6" t="s">
        <v>57</v>
      </c>
      <c r="D53" s="6" t="s">
        <v>24</v>
      </c>
      <c r="E53" s="6">
        <v>1000</v>
      </c>
    </row>
    <row r="54" spans="2:5" x14ac:dyDescent="0.3">
      <c r="B54" s="6" t="s">
        <v>156</v>
      </c>
      <c r="C54" s="6" t="s">
        <v>27</v>
      </c>
      <c r="D54" s="6" t="s">
        <v>22</v>
      </c>
      <c r="E54" s="6">
        <v>410</v>
      </c>
    </row>
    <row r="55" spans="2:5" x14ac:dyDescent="0.3">
      <c r="B55" s="6" t="s">
        <v>156</v>
      </c>
      <c r="C55" s="6" t="s">
        <v>126</v>
      </c>
      <c r="D55" s="6" t="s">
        <v>24</v>
      </c>
      <c r="E55" s="6">
        <v>800</v>
      </c>
    </row>
    <row r="56" spans="2:5" x14ac:dyDescent="0.3">
      <c r="B56" s="6" t="s">
        <v>157</v>
      </c>
      <c r="C56" s="6" t="s">
        <v>152</v>
      </c>
      <c r="D56" s="6" t="s">
        <v>24</v>
      </c>
      <c r="E56" s="6">
        <v>160</v>
      </c>
    </row>
    <row r="57" spans="2:5" x14ac:dyDescent="0.3">
      <c r="B57" s="6" t="s">
        <v>160</v>
      </c>
      <c r="C57" s="6" t="s">
        <v>110</v>
      </c>
      <c r="D57" s="6" t="s">
        <v>22</v>
      </c>
      <c r="E57" s="6">
        <v>1540</v>
      </c>
    </row>
    <row r="58" spans="2:5" x14ac:dyDescent="0.3">
      <c r="B58" s="6" t="s">
        <v>160</v>
      </c>
      <c r="C58" s="6" t="s">
        <v>70</v>
      </c>
      <c r="D58" s="6" t="s">
        <v>22</v>
      </c>
      <c r="E58" s="6">
        <v>2950</v>
      </c>
    </row>
    <row r="59" spans="2:5" x14ac:dyDescent="0.3">
      <c r="B59" s="6" t="s">
        <v>160</v>
      </c>
      <c r="C59" s="6" t="s">
        <v>109</v>
      </c>
      <c r="D59" s="6" t="s">
        <v>22</v>
      </c>
      <c r="E59" s="6">
        <v>3000</v>
      </c>
    </row>
    <row r="60" spans="2:5" x14ac:dyDescent="0.3">
      <c r="B60" s="6" t="s">
        <v>160</v>
      </c>
      <c r="C60" s="6" t="s">
        <v>151</v>
      </c>
      <c r="D60" s="6" t="s">
        <v>22</v>
      </c>
      <c r="E60" s="6">
        <v>3500</v>
      </c>
    </row>
    <row r="61" spans="2:5" x14ac:dyDescent="0.3">
      <c r="B61" s="6" t="s">
        <v>160</v>
      </c>
      <c r="C61" s="6" t="s">
        <v>73</v>
      </c>
      <c r="D61" s="6" t="s">
        <v>22</v>
      </c>
      <c r="E61" s="6">
        <v>1540</v>
      </c>
    </row>
    <row r="62" spans="2:5" x14ac:dyDescent="0.3">
      <c r="B62" s="6" t="s">
        <v>160</v>
      </c>
      <c r="C62" s="6" t="s">
        <v>62</v>
      </c>
      <c r="D62" s="6" t="s">
        <v>22</v>
      </c>
      <c r="E62" s="6">
        <v>3900</v>
      </c>
    </row>
    <row r="63" spans="2:5" x14ac:dyDescent="0.3">
      <c r="B63" s="6" t="s">
        <v>158</v>
      </c>
      <c r="C63" s="6" t="s">
        <v>118</v>
      </c>
      <c r="D63" s="6" t="s">
        <v>24</v>
      </c>
      <c r="E63" s="6">
        <v>500</v>
      </c>
    </row>
    <row r="64" spans="2:5" x14ac:dyDescent="0.3">
      <c r="B64" s="6" t="s">
        <v>157</v>
      </c>
      <c r="C64" s="6" t="s">
        <v>174</v>
      </c>
      <c r="D64" s="6" t="s">
        <v>24</v>
      </c>
      <c r="E64" s="6">
        <v>300</v>
      </c>
    </row>
    <row r="65" spans="2:5" x14ac:dyDescent="0.3">
      <c r="B65" s="6" t="s">
        <v>168</v>
      </c>
      <c r="C65" s="6" t="s">
        <v>28</v>
      </c>
      <c r="D65" s="6" t="s">
        <v>29</v>
      </c>
      <c r="E65" s="6">
        <f>0.17/1000</f>
        <v>1.7000000000000001E-4</v>
      </c>
    </row>
    <row r="66" spans="2:5" x14ac:dyDescent="0.3">
      <c r="B66" s="6" t="s">
        <v>156</v>
      </c>
      <c r="C66" s="6" t="s">
        <v>82</v>
      </c>
      <c r="D66" s="6" t="s">
        <v>22</v>
      </c>
      <c r="E66" s="6">
        <v>1000</v>
      </c>
    </row>
    <row r="67" spans="2:5" x14ac:dyDescent="0.3">
      <c r="B67" s="6" t="s">
        <v>156</v>
      </c>
      <c r="C67" s="6" t="s">
        <v>102</v>
      </c>
      <c r="D67" s="6" t="s">
        <v>22</v>
      </c>
      <c r="E67" s="6">
        <v>1000</v>
      </c>
    </row>
    <row r="68" spans="2:5" x14ac:dyDescent="0.3">
      <c r="B68" s="6" t="s">
        <v>154</v>
      </c>
      <c r="C68" s="6" t="s">
        <v>37</v>
      </c>
      <c r="D68" s="6" t="s">
        <v>38</v>
      </c>
      <c r="E68" s="6">
        <v>50</v>
      </c>
    </row>
    <row r="69" spans="2:5" x14ac:dyDescent="0.3">
      <c r="B69" s="6" t="s">
        <v>154</v>
      </c>
      <c r="C69" s="6" t="s">
        <v>36</v>
      </c>
      <c r="D69" s="6" t="s">
        <v>22</v>
      </c>
      <c r="E69" s="6">
        <v>300</v>
      </c>
    </row>
    <row r="70" spans="2:5" x14ac:dyDescent="0.3">
      <c r="B70" s="6" t="s">
        <v>161</v>
      </c>
      <c r="C70" s="6" t="s">
        <v>108</v>
      </c>
      <c r="D70" s="6" t="s">
        <v>67</v>
      </c>
      <c r="E70" s="6">
        <v>250</v>
      </c>
    </row>
    <row r="71" spans="2:5" x14ac:dyDescent="0.3">
      <c r="B71" s="6" t="s">
        <v>154</v>
      </c>
      <c r="C71" s="6" t="s">
        <v>65</v>
      </c>
      <c r="D71" s="6" t="s">
        <v>22</v>
      </c>
      <c r="E71" s="6">
        <v>1500</v>
      </c>
    </row>
    <row r="72" spans="2:5" x14ac:dyDescent="0.3">
      <c r="B72" s="6" t="s">
        <v>168</v>
      </c>
      <c r="C72" s="6" t="s">
        <v>122</v>
      </c>
      <c r="D72" s="6" t="s">
        <v>24</v>
      </c>
      <c r="E72" s="6">
        <v>550</v>
      </c>
    </row>
    <row r="73" spans="2:5" x14ac:dyDescent="0.3">
      <c r="B73" s="6" t="s">
        <v>168</v>
      </c>
      <c r="C73" s="6" t="s">
        <v>123</v>
      </c>
      <c r="D73" s="6" t="s">
        <v>67</v>
      </c>
      <c r="E73" s="6">
        <v>650</v>
      </c>
    </row>
    <row r="74" spans="2:5" x14ac:dyDescent="0.3">
      <c r="B74" s="6" t="s">
        <v>156</v>
      </c>
      <c r="C74" s="6" t="s">
        <v>146</v>
      </c>
      <c r="D74" s="6" t="s">
        <v>67</v>
      </c>
      <c r="E74" s="6">
        <v>700</v>
      </c>
    </row>
    <row r="75" spans="2:5" x14ac:dyDescent="0.3">
      <c r="B75" s="6" t="s">
        <v>156</v>
      </c>
      <c r="C75" s="6" t="s">
        <v>148</v>
      </c>
      <c r="D75" s="6" t="s">
        <v>22</v>
      </c>
      <c r="E75" s="6">
        <v>700</v>
      </c>
    </row>
    <row r="76" spans="2:5" x14ac:dyDescent="0.3">
      <c r="B76" s="6" t="s">
        <v>154</v>
      </c>
      <c r="C76" s="6" t="s">
        <v>178</v>
      </c>
      <c r="D76" s="6" t="s">
        <v>22</v>
      </c>
      <c r="E76" s="6">
        <v>650</v>
      </c>
    </row>
    <row r="77" spans="2:5" x14ac:dyDescent="0.3">
      <c r="B77" s="6" t="s">
        <v>156</v>
      </c>
      <c r="C77" s="6" t="s">
        <v>78</v>
      </c>
      <c r="D77" s="6" t="s">
        <v>67</v>
      </c>
      <c r="E77" s="6">
        <v>480</v>
      </c>
    </row>
    <row r="78" spans="2:5" x14ac:dyDescent="0.3">
      <c r="B78" s="6" t="s">
        <v>156</v>
      </c>
      <c r="C78" s="6" t="s">
        <v>40</v>
      </c>
      <c r="D78" s="6" t="s">
        <v>22</v>
      </c>
      <c r="E78" s="6">
        <v>700</v>
      </c>
    </row>
    <row r="79" spans="2:5" x14ac:dyDescent="0.3">
      <c r="B79" s="6" t="s">
        <v>161</v>
      </c>
      <c r="C79" s="6" t="s">
        <v>32</v>
      </c>
      <c r="D79" s="6" t="s">
        <v>67</v>
      </c>
      <c r="E79" s="6">
        <v>610</v>
      </c>
    </row>
    <row r="80" spans="2:5" x14ac:dyDescent="0.3">
      <c r="B80" s="6" t="s">
        <v>156</v>
      </c>
      <c r="C80" s="6" t="s">
        <v>143</v>
      </c>
      <c r="D80" s="6" t="s">
        <v>67</v>
      </c>
      <c r="E80" s="6">
        <v>150</v>
      </c>
    </row>
    <row r="81" spans="2:5" x14ac:dyDescent="0.3">
      <c r="B81" s="6" t="s">
        <v>156</v>
      </c>
      <c r="C81" s="6" t="s">
        <v>150</v>
      </c>
      <c r="D81" s="6" t="s">
        <v>22</v>
      </c>
      <c r="E81" s="6">
        <v>1200</v>
      </c>
    </row>
  </sheetData>
  <conditionalFormatting sqref="C1:C1048576">
    <cfRule type="duplicateValues" dxfId="3" priority="1"/>
    <cfRule type="duplicateValues" dxfId="2" priority="3"/>
  </conditionalFormatting>
  <conditionalFormatting sqref="C2:C81">
    <cfRule type="duplicateValues" dxfId="1" priority="36"/>
    <cfRule type="duplicateValues" dxfId="0" priority="37"/>
  </conditionalFormatting>
  <dataValidations count="1">
    <dataValidation type="list" allowBlank="1" showInputMessage="1" showErrorMessage="1" sqref="B2:B81" xr:uid="{C8C0BEA4-E3A0-4238-90D9-9CEE3289D4A9}">
      <formula1>$H$3:$H$17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0EE49-17B6-4532-BACB-6BC16C1063D3}">
  <sheetPr codeName="Sheet6"/>
  <dimension ref="B2:Y57"/>
  <sheetViews>
    <sheetView tabSelected="1" topLeftCell="A2" zoomScale="65" zoomScaleNormal="80" workbookViewId="0">
      <selection activeCell="H13" sqref="H13"/>
    </sheetView>
  </sheetViews>
  <sheetFormatPr defaultRowHeight="15.6" x14ac:dyDescent="0.3"/>
  <cols>
    <col min="2" max="2" width="48.58203125" style="5" customWidth="1"/>
    <col min="3" max="3" width="31.25" customWidth="1"/>
    <col min="4" max="5" width="9.1640625" customWidth="1"/>
    <col min="7" max="7" width="29.83203125" customWidth="1"/>
    <col min="8" max="8" width="28.9140625" customWidth="1"/>
    <col min="12" max="12" width="32.33203125" customWidth="1"/>
    <col min="13" max="13" width="16.5" customWidth="1"/>
    <col min="17" max="17" width="29.08203125" customWidth="1"/>
    <col min="22" max="22" width="11.9140625" customWidth="1"/>
    <col min="23" max="23" width="33.4140625" customWidth="1"/>
    <col min="24" max="24" width="38.75" customWidth="1"/>
    <col min="25" max="25" width="30.4140625" customWidth="1"/>
  </cols>
  <sheetData>
    <row r="2" spans="2:25" ht="93.6" x14ac:dyDescent="0.3">
      <c r="B2" s="5" t="s">
        <v>91</v>
      </c>
      <c r="C2" t="s">
        <v>20</v>
      </c>
      <c r="D2" t="s">
        <v>21</v>
      </c>
      <c r="E2" t="s">
        <v>19</v>
      </c>
      <c r="G2" s="5" t="s">
        <v>92</v>
      </c>
      <c r="H2" t="s">
        <v>20</v>
      </c>
      <c r="I2" t="s">
        <v>21</v>
      </c>
      <c r="J2" t="s">
        <v>19</v>
      </c>
      <c r="L2" s="5" t="s">
        <v>93</v>
      </c>
      <c r="M2" t="s">
        <v>20</v>
      </c>
      <c r="N2" t="s">
        <v>21</v>
      </c>
      <c r="O2" t="s">
        <v>19</v>
      </c>
      <c r="Q2" s="5" t="s">
        <v>94</v>
      </c>
      <c r="R2" t="s">
        <v>20</v>
      </c>
      <c r="S2" t="s">
        <v>21</v>
      </c>
      <c r="T2" t="s">
        <v>19</v>
      </c>
      <c r="V2" t="s">
        <v>131</v>
      </c>
      <c r="W2" s="7" t="s">
        <v>20</v>
      </c>
      <c r="X2" s="7" t="s">
        <v>21</v>
      </c>
      <c r="Y2" s="8" t="s">
        <v>19</v>
      </c>
    </row>
    <row r="3" spans="2:25" ht="31.2" x14ac:dyDescent="0.3">
      <c r="B3" s="5" t="s">
        <v>71</v>
      </c>
      <c r="C3" s="4" t="s">
        <v>141</v>
      </c>
      <c r="D3" s="4" t="s">
        <v>24</v>
      </c>
      <c r="E3" s="4">
        <v>5</v>
      </c>
      <c r="G3" s="5" t="s">
        <v>17</v>
      </c>
      <c r="H3" s="4" t="s">
        <v>18</v>
      </c>
      <c r="I3" s="4" t="s">
        <v>22</v>
      </c>
      <c r="J3" s="4">
        <v>0.4</v>
      </c>
      <c r="L3" s="5" t="s">
        <v>50</v>
      </c>
      <c r="M3" s="4" t="s">
        <v>51</v>
      </c>
      <c r="N3" s="4" t="s">
        <v>22</v>
      </c>
      <c r="O3" s="4">
        <v>0.3</v>
      </c>
      <c r="Q3" s="5" t="s">
        <v>30</v>
      </c>
      <c r="R3" s="4" t="s">
        <v>35</v>
      </c>
      <c r="S3" s="4" t="s">
        <v>22</v>
      </c>
      <c r="T3" s="4">
        <v>0.15</v>
      </c>
      <c r="V3" t="s">
        <v>132</v>
      </c>
    </row>
    <row r="4" spans="2:25" ht="55.2" x14ac:dyDescent="0.3">
      <c r="B4" s="5" t="s">
        <v>71</v>
      </c>
      <c r="C4" s="4" t="s">
        <v>107</v>
      </c>
      <c r="D4" s="4" t="s">
        <v>24</v>
      </c>
      <c r="E4" s="4">
        <v>7</v>
      </c>
      <c r="G4" s="5" t="s">
        <v>17</v>
      </c>
      <c r="H4" s="4" t="s">
        <v>23</v>
      </c>
      <c r="I4" s="4" t="s">
        <v>22</v>
      </c>
      <c r="J4" s="4">
        <v>0.5</v>
      </c>
      <c r="L4" s="5" t="s">
        <v>50</v>
      </c>
      <c r="M4" s="4" t="s">
        <v>35</v>
      </c>
      <c r="N4" s="4" t="s">
        <v>22</v>
      </c>
      <c r="O4" s="4">
        <v>0.15</v>
      </c>
      <c r="Q4" s="5" t="s">
        <v>30</v>
      </c>
      <c r="R4" s="4" t="s">
        <v>31</v>
      </c>
      <c r="S4" s="4" t="s">
        <v>22</v>
      </c>
      <c r="T4" s="4">
        <v>0.3</v>
      </c>
      <c r="V4" t="s">
        <v>121</v>
      </c>
    </row>
    <row r="5" spans="2:25" x14ac:dyDescent="0.3">
      <c r="B5" s="5" t="s">
        <v>71</v>
      </c>
      <c r="C5" s="4" t="s">
        <v>70</v>
      </c>
      <c r="D5" s="4" t="s">
        <v>22</v>
      </c>
      <c r="E5" s="4">
        <v>0.1</v>
      </c>
      <c r="G5" s="5" t="s">
        <v>17</v>
      </c>
      <c r="H5" s="4" t="s">
        <v>107</v>
      </c>
      <c r="I5" s="4" t="s">
        <v>24</v>
      </c>
      <c r="J5" s="4">
        <v>1</v>
      </c>
      <c r="L5" s="5" t="s">
        <v>50</v>
      </c>
      <c r="M5" s="4" t="s">
        <v>36</v>
      </c>
      <c r="N5" s="4" t="s">
        <v>22</v>
      </c>
      <c r="O5" s="4">
        <v>0.1</v>
      </c>
      <c r="Q5" s="5" t="s">
        <v>30</v>
      </c>
      <c r="R5" s="4" t="s">
        <v>18</v>
      </c>
      <c r="S5" s="4" t="s">
        <v>22</v>
      </c>
      <c r="T5" s="4">
        <v>0.1</v>
      </c>
      <c r="V5" t="s">
        <v>113</v>
      </c>
    </row>
    <row r="6" spans="2:25" x14ac:dyDescent="0.3">
      <c r="B6" s="5" t="s">
        <v>72</v>
      </c>
      <c r="C6" s="4" t="s">
        <v>107</v>
      </c>
      <c r="D6" s="4" t="s">
        <v>24</v>
      </c>
      <c r="E6" s="4">
        <v>6</v>
      </c>
      <c r="G6" s="5" t="s">
        <v>17</v>
      </c>
      <c r="H6" s="4" t="s">
        <v>48</v>
      </c>
      <c r="I6" s="4" t="s">
        <v>85</v>
      </c>
      <c r="J6" s="4">
        <f>50/100</f>
        <v>0.5</v>
      </c>
      <c r="L6" s="5" t="s">
        <v>50</v>
      </c>
      <c r="M6" s="4" t="s">
        <v>49</v>
      </c>
      <c r="N6" s="4" t="s">
        <v>24</v>
      </c>
      <c r="O6" s="4">
        <v>0.25</v>
      </c>
      <c r="Q6" s="5" t="s">
        <v>30</v>
      </c>
      <c r="R6" s="4" t="s">
        <v>32</v>
      </c>
      <c r="S6" s="4" t="s">
        <v>25</v>
      </c>
      <c r="T6" s="4">
        <v>1</v>
      </c>
      <c r="V6" t="s">
        <v>112</v>
      </c>
    </row>
    <row r="7" spans="2:25" x14ac:dyDescent="0.3">
      <c r="B7" s="5" t="s">
        <v>72</v>
      </c>
      <c r="C7" s="4" t="s">
        <v>73</v>
      </c>
      <c r="D7" s="4" t="s">
        <v>22</v>
      </c>
      <c r="E7" s="4">
        <v>0.05</v>
      </c>
      <c r="G7" s="5" t="s">
        <v>17</v>
      </c>
      <c r="H7" s="4" t="s">
        <v>26</v>
      </c>
      <c r="I7" s="4" t="s">
        <v>22</v>
      </c>
      <c r="J7" s="4">
        <f>7/1000</f>
        <v>7.0000000000000001E-3</v>
      </c>
      <c r="L7" s="5" t="s">
        <v>50</v>
      </c>
      <c r="M7" s="4" t="s">
        <v>52</v>
      </c>
      <c r="N7" s="4" t="s">
        <v>53</v>
      </c>
      <c r="O7" s="4">
        <v>0.1</v>
      </c>
      <c r="Q7" s="5" t="s">
        <v>46</v>
      </c>
      <c r="R7" s="4" t="s">
        <v>47</v>
      </c>
      <c r="S7" s="4" t="s">
        <v>67</v>
      </c>
      <c r="T7" s="4">
        <v>0.1</v>
      </c>
      <c r="V7" t="s">
        <v>120</v>
      </c>
      <c r="W7" t="s">
        <v>186</v>
      </c>
      <c r="X7" t="s">
        <v>24</v>
      </c>
      <c r="Y7">
        <v>1</v>
      </c>
    </row>
    <row r="8" spans="2:25" ht="27.6" x14ac:dyDescent="0.3">
      <c r="B8" s="5" t="s">
        <v>72</v>
      </c>
      <c r="C8" s="4" t="s">
        <v>74</v>
      </c>
      <c r="D8" s="4" t="s">
        <v>22</v>
      </c>
      <c r="E8" s="4">
        <v>0.05</v>
      </c>
      <c r="G8" s="5" t="s">
        <v>17</v>
      </c>
      <c r="H8" s="4" t="s">
        <v>27</v>
      </c>
      <c r="I8" s="4" t="s">
        <v>22</v>
      </c>
      <c r="J8" s="4">
        <f>6/1000</f>
        <v>6.0000000000000001E-3</v>
      </c>
      <c r="L8" s="5" t="s">
        <v>54</v>
      </c>
      <c r="M8" s="4" t="s">
        <v>55</v>
      </c>
      <c r="N8" s="4" t="s">
        <v>22</v>
      </c>
      <c r="O8" s="4">
        <v>0.3</v>
      </c>
      <c r="Q8" s="5" t="s">
        <v>46</v>
      </c>
      <c r="R8" s="4" t="s">
        <v>48</v>
      </c>
      <c r="S8" s="4" t="s">
        <v>85</v>
      </c>
      <c r="T8" s="4">
        <v>0.5</v>
      </c>
      <c r="V8" t="s">
        <v>133</v>
      </c>
    </row>
    <row r="9" spans="2:25" x14ac:dyDescent="0.3">
      <c r="B9" s="5" t="s">
        <v>72</v>
      </c>
      <c r="C9" s="4" t="s">
        <v>75</v>
      </c>
      <c r="D9" s="4" t="s">
        <v>24</v>
      </c>
      <c r="E9" s="4">
        <v>2</v>
      </c>
      <c r="G9" s="5" t="s">
        <v>17</v>
      </c>
      <c r="H9" s="4" t="s">
        <v>28</v>
      </c>
      <c r="I9" s="4" t="s">
        <v>29</v>
      </c>
      <c r="J9" s="4">
        <v>200</v>
      </c>
      <c r="L9" s="5" t="s">
        <v>54</v>
      </c>
      <c r="M9" s="4" t="s">
        <v>56</v>
      </c>
      <c r="N9" s="4" t="s">
        <v>24</v>
      </c>
      <c r="O9" s="4">
        <v>10</v>
      </c>
      <c r="Q9" s="5" t="s">
        <v>46</v>
      </c>
      <c r="R9" s="4" t="s">
        <v>49</v>
      </c>
      <c r="S9" s="4" t="s">
        <v>24</v>
      </c>
      <c r="T9" s="4">
        <v>0.5</v>
      </c>
      <c r="V9" t="s">
        <v>114</v>
      </c>
      <c r="W9" t="s">
        <v>114</v>
      </c>
      <c r="X9" t="s">
        <v>24</v>
      </c>
      <c r="Y9">
        <v>1</v>
      </c>
    </row>
    <row r="10" spans="2:25" x14ac:dyDescent="0.3">
      <c r="B10" s="5" t="s">
        <v>72</v>
      </c>
      <c r="C10" s="4" t="s">
        <v>52</v>
      </c>
      <c r="D10" s="4" t="s">
        <v>53</v>
      </c>
      <c r="E10" s="4">
        <v>0.1</v>
      </c>
      <c r="G10" s="5" t="s">
        <v>33</v>
      </c>
      <c r="H10" s="4" t="s">
        <v>34</v>
      </c>
      <c r="I10" s="4" t="s">
        <v>22</v>
      </c>
      <c r="J10" s="4">
        <v>0.25</v>
      </c>
      <c r="L10" s="5" t="s">
        <v>54</v>
      </c>
      <c r="M10" s="4" t="s">
        <v>37</v>
      </c>
      <c r="N10" s="4" t="s">
        <v>38</v>
      </c>
      <c r="O10" s="4">
        <v>1</v>
      </c>
      <c r="Q10" s="5" t="s">
        <v>96</v>
      </c>
      <c r="R10" s="4" t="s">
        <v>39</v>
      </c>
      <c r="S10" s="4" t="s">
        <v>22</v>
      </c>
      <c r="T10" s="4">
        <v>1</v>
      </c>
      <c r="V10" t="s">
        <v>178</v>
      </c>
      <c r="W10" t="s">
        <v>178</v>
      </c>
      <c r="X10" t="s">
        <v>24</v>
      </c>
      <c r="Y10">
        <v>1</v>
      </c>
    </row>
    <row r="11" spans="2:25" ht="27.6" x14ac:dyDescent="0.3">
      <c r="B11" s="5" t="s">
        <v>76</v>
      </c>
      <c r="C11" s="4" t="s">
        <v>47</v>
      </c>
      <c r="D11" s="4" t="s">
        <v>67</v>
      </c>
      <c r="E11" s="4">
        <v>0.2</v>
      </c>
      <c r="G11" s="5" t="s">
        <v>33</v>
      </c>
      <c r="H11" s="4" t="s">
        <v>35</v>
      </c>
      <c r="I11" s="4" t="s">
        <v>22</v>
      </c>
      <c r="J11" s="4">
        <v>0.15</v>
      </c>
      <c r="L11" s="5" t="s">
        <v>54</v>
      </c>
      <c r="M11" s="4" t="s">
        <v>57</v>
      </c>
      <c r="N11" s="4" t="s">
        <v>24</v>
      </c>
      <c r="O11" s="4">
        <v>0.2</v>
      </c>
      <c r="Q11" s="5" t="s">
        <v>97</v>
      </c>
      <c r="R11" s="4" t="s">
        <v>43</v>
      </c>
      <c r="S11" s="4" t="s">
        <v>22</v>
      </c>
      <c r="T11" s="4">
        <v>2</v>
      </c>
      <c r="V11" t="s">
        <v>188</v>
      </c>
    </row>
    <row r="12" spans="2:25" ht="46.8" x14ac:dyDescent="0.3">
      <c r="B12" s="5" t="s">
        <v>76</v>
      </c>
      <c r="C12" s="4" t="s">
        <v>77</v>
      </c>
      <c r="D12" s="4" t="s">
        <v>67</v>
      </c>
      <c r="E12" s="4">
        <v>0.5</v>
      </c>
      <c r="G12" s="5" t="s">
        <v>33</v>
      </c>
      <c r="H12" s="4" t="s">
        <v>36</v>
      </c>
      <c r="I12" s="4" t="s">
        <v>22</v>
      </c>
      <c r="J12" s="4">
        <v>0.1</v>
      </c>
      <c r="L12" s="5" t="s">
        <v>58</v>
      </c>
      <c r="M12" s="4" t="s">
        <v>39</v>
      </c>
      <c r="N12" s="4" t="s">
        <v>22</v>
      </c>
      <c r="O12" s="4">
        <v>0.3</v>
      </c>
      <c r="Q12" s="5" t="s">
        <v>103</v>
      </c>
      <c r="R12" s="4" t="s">
        <v>23</v>
      </c>
      <c r="S12" s="4" t="s">
        <v>22</v>
      </c>
      <c r="T12" s="4">
        <v>0.15</v>
      </c>
      <c r="V12" t="s">
        <v>198</v>
      </c>
      <c r="W12" t="s">
        <v>104</v>
      </c>
      <c r="X12" t="s">
        <v>24</v>
      </c>
      <c r="Y12">
        <v>3</v>
      </c>
    </row>
    <row r="13" spans="2:25" x14ac:dyDescent="0.3">
      <c r="B13" s="5" t="s">
        <v>78</v>
      </c>
      <c r="C13" s="4" t="s">
        <v>78</v>
      </c>
      <c r="D13" s="4" t="s">
        <v>67</v>
      </c>
      <c r="E13" s="4">
        <v>0.2</v>
      </c>
      <c r="G13" s="5" t="s">
        <v>33</v>
      </c>
      <c r="H13" s="4" t="s">
        <v>37</v>
      </c>
      <c r="I13" s="4" t="s">
        <v>38</v>
      </c>
      <c r="J13" s="4">
        <v>2</v>
      </c>
      <c r="L13" s="5" t="s">
        <v>58</v>
      </c>
      <c r="M13" s="4" t="s">
        <v>59</v>
      </c>
      <c r="N13" s="4" t="s">
        <v>24</v>
      </c>
      <c r="O13" s="4">
        <v>1</v>
      </c>
      <c r="Q13" s="5" t="s">
        <v>103</v>
      </c>
      <c r="R13" s="5" t="s">
        <v>147</v>
      </c>
      <c r="S13" s="4" t="s">
        <v>22</v>
      </c>
      <c r="T13" s="4">
        <v>0.3</v>
      </c>
      <c r="V13" t="s">
        <v>35</v>
      </c>
    </row>
    <row r="14" spans="2:25" ht="46.8" x14ac:dyDescent="0.3">
      <c r="B14" s="5" t="s">
        <v>192</v>
      </c>
      <c r="C14" s="4" t="s">
        <v>84</v>
      </c>
      <c r="D14" s="4" t="s">
        <v>85</v>
      </c>
      <c r="E14" s="4">
        <v>0.2</v>
      </c>
      <c r="G14" s="5" t="s">
        <v>33</v>
      </c>
      <c r="H14" s="4" t="s">
        <v>39</v>
      </c>
      <c r="I14" s="4" t="s">
        <v>22</v>
      </c>
      <c r="J14" s="4">
        <v>0.2</v>
      </c>
      <c r="L14" s="5" t="s">
        <v>58</v>
      </c>
      <c r="M14" s="4" t="s">
        <v>108</v>
      </c>
      <c r="N14" s="4" t="s">
        <v>67</v>
      </c>
      <c r="O14" s="4">
        <v>1</v>
      </c>
      <c r="Q14" s="5" t="s">
        <v>103</v>
      </c>
      <c r="R14" s="4" t="s">
        <v>70</v>
      </c>
      <c r="S14" s="4" t="s">
        <v>22</v>
      </c>
      <c r="T14" s="4">
        <f>80/1000</f>
        <v>0.08</v>
      </c>
      <c r="V14" t="s">
        <v>200</v>
      </c>
      <c r="W14" t="s">
        <v>105</v>
      </c>
    </row>
    <row r="15" spans="2:25" x14ac:dyDescent="0.3">
      <c r="B15" s="5" t="s">
        <v>192</v>
      </c>
      <c r="C15" s="4" t="s">
        <v>193</v>
      </c>
      <c r="D15" s="4" t="s">
        <v>22</v>
      </c>
      <c r="E15" s="4">
        <v>0.05</v>
      </c>
      <c r="G15" s="5" t="s">
        <v>41</v>
      </c>
      <c r="H15" s="4" t="s">
        <v>39</v>
      </c>
      <c r="I15" s="4" t="s">
        <v>22</v>
      </c>
      <c r="J15" s="4">
        <v>0.2</v>
      </c>
      <c r="L15" s="5" t="s">
        <v>58</v>
      </c>
      <c r="M15" s="4" t="s">
        <v>60</v>
      </c>
      <c r="N15" s="4" t="s">
        <v>22</v>
      </c>
      <c r="O15" s="4">
        <v>0.2</v>
      </c>
      <c r="Q15" s="5" t="s">
        <v>103</v>
      </c>
      <c r="R15" s="4" t="s">
        <v>107</v>
      </c>
      <c r="S15" s="4" t="s">
        <v>24</v>
      </c>
      <c r="T15" s="4">
        <v>2</v>
      </c>
    </row>
    <row r="16" spans="2:25" ht="27.6" x14ac:dyDescent="0.3">
      <c r="B16" s="5" t="s">
        <v>86</v>
      </c>
      <c r="C16" s="4" t="s">
        <v>107</v>
      </c>
      <c r="D16" s="4" t="s">
        <v>24</v>
      </c>
      <c r="E16" s="4">
        <v>1</v>
      </c>
      <c r="G16" s="5" t="s">
        <v>41</v>
      </c>
      <c r="H16" s="4" t="s">
        <v>35</v>
      </c>
      <c r="I16" s="4" t="s">
        <v>22</v>
      </c>
      <c r="J16" s="4">
        <v>0.2</v>
      </c>
      <c r="L16" s="5" t="s">
        <v>58</v>
      </c>
      <c r="M16" s="4" t="s">
        <v>61</v>
      </c>
      <c r="N16" s="4" t="s">
        <v>53</v>
      </c>
      <c r="O16" s="4">
        <v>1</v>
      </c>
      <c r="Q16" s="5" t="s">
        <v>103</v>
      </c>
      <c r="R16" s="4" t="s">
        <v>148</v>
      </c>
      <c r="S16" s="4" t="s">
        <v>22</v>
      </c>
      <c r="T16" s="4">
        <v>0.1</v>
      </c>
    </row>
    <row r="17" spans="2:20" ht="27.6" x14ac:dyDescent="0.3">
      <c r="B17" s="5" t="s">
        <v>86</v>
      </c>
      <c r="C17" s="4" t="s">
        <v>84</v>
      </c>
      <c r="D17" s="4" t="s">
        <v>85</v>
      </c>
      <c r="E17" s="4">
        <f>210/1000</f>
        <v>0.21</v>
      </c>
      <c r="G17" s="5" t="s">
        <v>41</v>
      </c>
      <c r="H17" s="4" t="s">
        <v>36</v>
      </c>
      <c r="I17" s="4" t="s">
        <v>22</v>
      </c>
      <c r="J17" s="4">
        <v>0.1</v>
      </c>
      <c r="L17" s="5" t="s">
        <v>58</v>
      </c>
      <c r="M17" s="4" t="s">
        <v>62</v>
      </c>
      <c r="N17" s="4" t="s">
        <v>22</v>
      </c>
      <c r="O17" s="4">
        <v>0.2</v>
      </c>
      <c r="Q17" s="5" t="s">
        <v>103</v>
      </c>
      <c r="R17" s="4" t="s">
        <v>48</v>
      </c>
      <c r="S17" s="4" t="s">
        <v>85</v>
      </c>
      <c r="T17" s="4">
        <v>0.5</v>
      </c>
    </row>
    <row r="18" spans="2:20" ht="27.6" x14ac:dyDescent="0.3">
      <c r="B18" s="5" t="s">
        <v>86</v>
      </c>
      <c r="C18" s="4" t="s">
        <v>143</v>
      </c>
      <c r="D18" s="4" t="s">
        <v>67</v>
      </c>
      <c r="E18" s="4">
        <f>5/1000</f>
        <v>5.0000000000000001E-3</v>
      </c>
      <c r="G18" s="5" t="s">
        <v>41</v>
      </c>
      <c r="H18" s="4" t="s">
        <v>40</v>
      </c>
      <c r="I18" s="4" t="s">
        <v>22</v>
      </c>
      <c r="J18" s="4">
        <v>0.1</v>
      </c>
      <c r="L18" s="5" t="s">
        <v>89</v>
      </c>
      <c r="M18" s="4" t="s">
        <v>89</v>
      </c>
      <c r="N18" s="4" t="s">
        <v>67</v>
      </c>
      <c r="O18" s="4">
        <v>1</v>
      </c>
      <c r="Q18" s="5" t="s">
        <v>103</v>
      </c>
      <c r="R18" s="4" t="s">
        <v>143</v>
      </c>
      <c r="S18" s="4" t="s">
        <v>67</v>
      </c>
      <c r="T18" s="4">
        <v>0.2</v>
      </c>
    </row>
    <row r="19" spans="2:20" x14ac:dyDescent="0.3">
      <c r="B19" s="5" t="s">
        <v>86</v>
      </c>
      <c r="C19" s="4" t="s">
        <v>48</v>
      </c>
      <c r="D19" s="4" t="s">
        <v>85</v>
      </c>
      <c r="E19" s="4">
        <f>25/1000</f>
        <v>2.5000000000000001E-2</v>
      </c>
      <c r="G19" s="5" t="s">
        <v>42</v>
      </c>
      <c r="H19" s="4" t="s">
        <v>43</v>
      </c>
      <c r="I19" s="4" t="s">
        <v>22</v>
      </c>
      <c r="J19" s="4">
        <v>1.5</v>
      </c>
      <c r="L19" s="5" t="s">
        <v>95</v>
      </c>
      <c r="M19" s="4"/>
      <c r="N19" s="4"/>
      <c r="O19" s="4"/>
      <c r="Q19" s="5" t="s">
        <v>103</v>
      </c>
      <c r="R19" s="4" t="s">
        <v>52</v>
      </c>
      <c r="S19" s="4" t="s">
        <v>53</v>
      </c>
      <c r="T19" s="4">
        <v>0.2</v>
      </c>
    </row>
    <row r="20" spans="2:20" x14ac:dyDescent="0.3">
      <c r="B20" s="5" t="s">
        <v>86</v>
      </c>
      <c r="C20" s="4" t="s">
        <v>23</v>
      </c>
      <c r="D20" s="4" t="s">
        <v>22</v>
      </c>
      <c r="E20" s="4">
        <f>200/1000</f>
        <v>0.2</v>
      </c>
      <c r="G20" s="5" t="s">
        <v>42</v>
      </c>
      <c r="H20" s="4" t="s">
        <v>35</v>
      </c>
      <c r="I20" s="4" t="s">
        <v>22</v>
      </c>
      <c r="J20" s="4">
        <v>0.2</v>
      </c>
      <c r="L20" s="5" t="s">
        <v>99</v>
      </c>
      <c r="M20" s="4" t="s">
        <v>152</v>
      </c>
      <c r="N20" s="4" t="s">
        <v>24</v>
      </c>
      <c r="O20" s="4">
        <v>2</v>
      </c>
      <c r="Q20" s="5" t="s">
        <v>104</v>
      </c>
      <c r="R20" s="4" t="s">
        <v>39</v>
      </c>
      <c r="S20" s="4" t="s">
        <v>22</v>
      </c>
      <c r="T20" s="4">
        <v>0.3</v>
      </c>
    </row>
    <row r="21" spans="2:20" x14ac:dyDescent="0.3">
      <c r="B21" s="5" t="s">
        <v>86</v>
      </c>
      <c r="C21" s="4" t="s">
        <v>27</v>
      </c>
      <c r="D21" s="4" t="s">
        <v>22</v>
      </c>
      <c r="E21" s="4">
        <f>30/1000</f>
        <v>0.03</v>
      </c>
      <c r="G21" s="5" t="s">
        <v>42</v>
      </c>
      <c r="H21" s="4" t="s">
        <v>44</v>
      </c>
      <c r="I21" s="4" t="s">
        <v>22</v>
      </c>
      <c r="J21" s="4">
        <v>0.5</v>
      </c>
      <c r="L21" s="5" t="s">
        <v>99</v>
      </c>
      <c r="M21" s="4" t="s">
        <v>149</v>
      </c>
      <c r="N21" s="4" t="s">
        <v>24</v>
      </c>
      <c r="O21" s="4">
        <v>1</v>
      </c>
      <c r="Q21" s="5" t="s">
        <v>104</v>
      </c>
      <c r="R21" s="4" t="s">
        <v>107</v>
      </c>
      <c r="S21" s="4" t="s">
        <v>24</v>
      </c>
      <c r="T21" s="4">
        <v>1</v>
      </c>
    </row>
    <row r="22" spans="2:20" x14ac:dyDescent="0.3">
      <c r="B22" s="5" t="s">
        <v>100</v>
      </c>
      <c r="C22" s="4" t="s">
        <v>107</v>
      </c>
      <c r="D22" s="4" t="s">
        <v>24</v>
      </c>
      <c r="E22" s="4">
        <v>4</v>
      </c>
      <c r="G22" s="5" t="s">
        <v>42</v>
      </c>
      <c r="H22" s="4" t="s">
        <v>45</v>
      </c>
      <c r="I22" s="4" t="s">
        <v>22</v>
      </c>
      <c r="J22" s="4">
        <v>0.5</v>
      </c>
      <c r="L22" s="5" t="s">
        <v>99</v>
      </c>
      <c r="M22" s="4" t="s">
        <v>150</v>
      </c>
      <c r="N22" s="4" t="s">
        <v>22</v>
      </c>
      <c r="O22" s="4">
        <v>0.2</v>
      </c>
      <c r="Q22" s="5" t="s">
        <v>104</v>
      </c>
      <c r="R22" s="4" t="s">
        <v>36</v>
      </c>
      <c r="S22" s="4" t="s">
        <v>22</v>
      </c>
      <c r="T22" s="4">
        <v>0.1</v>
      </c>
    </row>
    <row r="23" spans="2:20" x14ac:dyDescent="0.3">
      <c r="B23" s="5" t="s">
        <v>100</v>
      </c>
      <c r="C23" s="4" t="s">
        <v>142</v>
      </c>
      <c r="D23" s="4" t="s">
        <v>24</v>
      </c>
      <c r="E23" s="4">
        <v>2</v>
      </c>
      <c r="G23" s="5" t="s">
        <v>63</v>
      </c>
      <c r="H23" s="4" t="s">
        <v>174</v>
      </c>
      <c r="I23" s="4" t="s">
        <v>24</v>
      </c>
      <c r="J23" s="4">
        <v>3</v>
      </c>
      <c r="L23" s="5" t="s">
        <v>99</v>
      </c>
      <c r="M23" s="4" t="s">
        <v>69</v>
      </c>
      <c r="N23" s="4" t="s">
        <v>22</v>
      </c>
      <c r="O23" s="4">
        <v>0.2</v>
      </c>
      <c r="Q23" s="5" t="s">
        <v>104</v>
      </c>
      <c r="R23" s="4" t="s">
        <v>23</v>
      </c>
      <c r="S23" s="4" t="s">
        <v>22</v>
      </c>
      <c r="T23" s="4">
        <f>5/1000</f>
        <v>5.0000000000000001E-3</v>
      </c>
    </row>
    <row r="24" spans="2:20" x14ac:dyDescent="0.3">
      <c r="B24" s="5" t="s">
        <v>140</v>
      </c>
      <c r="C24" s="4" t="s">
        <v>65</v>
      </c>
      <c r="D24" s="4" t="s">
        <v>22</v>
      </c>
      <c r="E24" s="4">
        <v>0.2</v>
      </c>
      <c r="G24" s="5" t="s">
        <v>63</v>
      </c>
      <c r="H24" s="4" t="s">
        <v>47</v>
      </c>
      <c r="I24" s="4" t="s">
        <v>67</v>
      </c>
      <c r="J24" s="4">
        <v>0.2</v>
      </c>
      <c r="L24" s="5" t="s">
        <v>99</v>
      </c>
      <c r="M24" s="4" t="s">
        <v>151</v>
      </c>
      <c r="N24" s="4" t="s">
        <v>22</v>
      </c>
      <c r="O24" s="4">
        <v>0.1</v>
      </c>
      <c r="Q24" s="5" t="s">
        <v>104</v>
      </c>
      <c r="R24" s="4" t="s">
        <v>47</v>
      </c>
      <c r="S24" s="4" t="s">
        <v>67</v>
      </c>
      <c r="T24" s="4">
        <v>0.1</v>
      </c>
    </row>
    <row r="25" spans="2:20" x14ac:dyDescent="0.3">
      <c r="B25" s="5" t="s">
        <v>140</v>
      </c>
      <c r="C25" s="4" t="s">
        <v>107</v>
      </c>
      <c r="D25" s="4" t="s">
        <v>24</v>
      </c>
      <c r="E25" s="4">
        <v>2</v>
      </c>
      <c r="G25" s="5" t="s">
        <v>63</v>
      </c>
      <c r="H25" s="4" t="s">
        <v>32</v>
      </c>
      <c r="I25" s="4" t="s">
        <v>67</v>
      </c>
      <c r="J25" s="4">
        <v>0.1</v>
      </c>
      <c r="L25" s="5" t="s">
        <v>144</v>
      </c>
      <c r="M25" s="5" t="s">
        <v>144</v>
      </c>
      <c r="N25" s="4" t="s">
        <v>67</v>
      </c>
      <c r="O25" s="4">
        <v>1</v>
      </c>
      <c r="Q25" s="5" t="s">
        <v>104</v>
      </c>
      <c r="R25" s="4" t="s">
        <v>35</v>
      </c>
      <c r="S25" s="4" t="s">
        <v>22</v>
      </c>
      <c r="T25" s="4">
        <v>0.1</v>
      </c>
    </row>
    <row r="26" spans="2:20" ht="27.6" x14ac:dyDescent="0.3">
      <c r="B26" s="5" t="s">
        <v>172</v>
      </c>
      <c r="C26" s="4" t="s">
        <v>107</v>
      </c>
      <c r="D26" s="4" t="s">
        <v>24</v>
      </c>
      <c r="E26" s="4">
        <v>6</v>
      </c>
      <c r="G26" s="5" t="s">
        <v>63</v>
      </c>
      <c r="H26" s="4" t="s">
        <v>64</v>
      </c>
      <c r="I26" s="4" t="s">
        <v>22</v>
      </c>
      <c r="J26" s="4">
        <v>0.3</v>
      </c>
      <c r="L26" s="5" t="s">
        <v>177</v>
      </c>
      <c r="M26" s="4" t="s">
        <v>69</v>
      </c>
      <c r="N26" s="4" t="s">
        <v>22</v>
      </c>
      <c r="O26" s="4">
        <v>0.3</v>
      </c>
      <c r="Q26" s="5" t="s">
        <v>104</v>
      </c>
      <c r="R26" s="4" t="s">
        <v>48</v>
      </c>
      <c r="S26" s="4" t="s">
        <v>85</v>
      </c>
      <c r="T26" s="4">
        <f>6*25/1000</f>
        <v>0.15</v>
      </c>
    </row>
    <row r="27" spans="2:20" x14ac:dyDescent="0.3">
      <c r="B27" s="5" t="s">
        <v>195</v>
      </c>
      <c r="C27" s="4" t="s">
        <v>77</v>
      </c>
      <c r="D27" s="4" t="s">
        <v>67</v>
      </c>
      <c r="E27" s="4">
        <v>1</v>
      </c>
      <c r="G27" s="5" t="s">
        <v>63</v>
      </c>
      <c r="H27" s="4" t="s">
        <v>65</v>
      </c>
      <c r="I27" s="4" t="s">
        <v>22</v>
      </c>
      <c r="J27" s="4">
        <v>0.2</v>
      </c>
      <c r="L27" s="5" t="s">
        <v>177</v>
      </c>
      <c r="M27" s="4" t="s">
        <v>178</v>
      </c>
      <c r="N27" s="4" t="s">
        <v>22</v>
      </c>
      <c r="O27" s="4">
        <v>0.3</v>
      </c>
      <c r="Q27" s="5" t="s">
        <v>105</v>
      </c>
      <c r="R27" s="4" t="s">
        <v>39</v>
      </c>
      <c r="S27" s="4" t="s">
        <v>22</v>
      </c>
      <c r="T27" s="4">
        <v>0.5</v>
      </c>
    </row>
    <row r="28" spans="2:20" x14ac:dyDescent="0.3">
      <c r="B28" s="5" t="s">
        <v>207</v>
      </c>
      <c r="C28" s="4" t="s">
        <v>107</v>
      </c>
      <c r="D28" s="4" t="s">
        <v>24</v>
      </c>
      <c r="E28" s="4">
        <v>1</v>
      </c>
      <c r="G28" s="5" t="s">
        <v>63</v>
      </c>
      <c r="H28" s="4" t="s">
        <v>66</v>
      </c>
      <c r="I28" s="4" t="s">
        <v>22</v>
      </c>
      <c r="J28" s="4">
        <v>0.2</v>
      </c>
      <c r="Q28" s="5" t="s">
        <v>105</v>
      </c>
      <c r="R28" s="4" t="s">
        <v>107</v>
      </c>
      <c r="S28" s="4" t="s">
        <v>24</v>
      </c>
      <c r="T28" s="4">
        <v>1</v>
      </c>
    </row>
    <row r="29" spans="2:20" x14ac:dyDescent="0.3">
      <c r="B29" s="5" t="s">
        <v>207</v>
      </c>
      <c r="C29" s="4" t="s">
        <v>84</v>
      </c>
      <c r="D29" s="4" t="s">
        <v>85</v>
      </c>
      <c r="E29" s="4">
        <f>210/1000</f>
        <v>0.21</v>
      </c>
      <c r="G29" s="5" t="s">
        <v>63</v>
      </c>
      <c r="H29" s="4" t="s">
        <v>68</v>
      </c>
      <c r="I29" s="4" t="s">
        <v>67</v>
      </c>
      <c r="J29" s="4">
        <v>1</v>
      </c>
      <c r="Q29" s="5" t="s">
        <v>105</v>
      </c>
      <c r="R29" s="4" t="s">
        <v>74</v>
      </c>
      <c r="S29" s="4" t="s">
        <v>22</v>
      </c>
      <c r="T29" s="4">
        <f>50/1000</f>
        <v>0.05</v>
      </c>
    </row>
    <row r="30" spans="2:20" x14ac:dyDescent="0.3">
      <c r="B30" s="5" t="s">
        <v>207</v>
      </c>
      <c r="C30" s="4" t="s">
        <v>143</v>
      </c>
      <c r="D30" s="4" t="s">
        <v>67</v>
      </c>
      <c r="E30" s="4">
        <f>5/1000</f>
        <v>5.0000000000000001E-3</v>
      </c>
      <c r="G30" s="5" t="s">
        <v>63</v>
      </c>
      <c r="H30" s="4" t="s">
        <v>69</v>
      </c>
      <c r="I30" s="4" t="s">
        <v>22</v>
      </c>
      <c r="J30" s="4">
        <v>0.2</v>
      </c>
      <c r="Q30" s="5" t="s">
        <v>105</v>
      </c>
      <c r="R30" s="4" t="s">
        <v>84</v>
      </c>
      <c r="S30" s="4" t="s">
        <v>85</v>
      </c>
      <c r="T30" s="4">
        <v>0.1</v>
      </c>
    </row>
    <row r="31" spans="2:20" ht="27.6" x14ac:dyDescent="0.3">
      <c r="B31" s="5" t="s">
        <v>207</v>
      </c>
      <c r="C31" s="4" t="s">
        <v>48</v>
      </c>
      <c r="D31" s="4" t="s">
        <v>85</v>
      </c>
      <c r="E31" s="4">
        <f>25/1000</f>
        <v>2.5000000000000001E-2</v>
      </c>
      <c r="G31" s="5" t="s">
        <v>63</v>
      </c>
      <c r="H31" s="4" t="s">
        <v>70</v>
      </c>
      <c r="I31" s="4" t="s">
        <v>22</v>
      </c>
      <c r="J31" s="4">
        <v>0.3</v>
      </c>
      <c r="Q31" s="5" t="s">
        <v>145</v>
      </c>
      <c r="R31" s="4" t="s">
        <v>43</v>
      </c>
      <c r="S31" s="4" t="s">
        <v>22</v>
      </c>
      <c r="T31" s="4">
        <v>2</v>
      </c>
    </row>
    <row r="32" spans="2:20" x14ac:dyDescent="0.3">
      <c r="B32" s="5" t="s">
        <v>207</v>
      </c>
      <c r="C32" s="4" t="s">
        <v>23</v>
      </c>
      <c r="D32" s="4" t="s">
        <v>22</v>
      </c>
      <c r="E32" s="4">
        <f>200/1000</f>
        <v>0.2</v>
      </c>
      <c r="G32" s="5" t="s">
        <v>79</v>
      </c>
      <c r="H32" s="4" t="s">
        <v>80</v>
      </c>
      <c r="I32" s="4" t="s">
        <v>22</v>
      </c>
      <c r="J32" s="4">
        <v>0.4</v>
      </c>
      <c r="Q32" s="5" t="s">
        <v>173</v>
      </c>
      <c r="R32" s="4" t="s">
        <v>34</v>
      </c>
      <c r="S32" s="4" t="s">
        <v>22</v>
      </c>
      <c r="T32" s="4">
        <v>0.25</v>
      </c>
    </row>
    <row r="33" spans="2:20" x14ac:dyDescent="0.3">
      <c r="B33" s="5" t="s">
        <v>207</v>
      </c>
      <c r="C33" s="4" t="s">
        <v>27</v>
      </c>
      <c r="D33" s="4" t="s">
        <v>22</v>
      </c>
      <c r="E33" s="4">
        <f>30/1000</f>
        <v>0.03</v>
      </c>
      <c r="G33" s="5" t="s">
        <v>81</v>
      </c>
      <c r="H33" s="4" t="s">
        <v>82</v>
      </c>
      <c r="I33" s="4" t="s">
        <v>22</v>
      </c>
      <c r="J33" s="4">
        <v>0.2</v>
      </c>
      <c r="Q33" s="5" t="s">
        <v>179</v>
      </c>
      <c r="R33" s="4" t="s">
        <v>18</v>
      </c>
      <c r="S33" s="4" t="s">
        <v>22</v>
      </c>
      <c r="T33" s="4">
        <v>0.3</v>
      </c>
    </row>
    <row r="34" spans="2:20" x14ac:dyDescent="0.3">
      <c r="B34" s="5" t="s">
        <v>207</v>
      </c>
      <c r="C34" s="4" t="s">
        <v>114</v>
      </c>
      <c r="D34" s="4" t="s">
        <v>22</v>
      </c>
      <c r="E34" s="4">
        <v>0.5</v>
      </c>
      <c r="G34" s="5" t="s">
        <v>81</v>
      </c>
      <c r="H34" s="4" t="s">
        <v>83</v>
      </c>
      <c r="I34" s="4" t="s">
        <v>22</v>
      </c>
      <c r="J34" s="4">
        <v>0.1</v>
      </c>
      <c r="Q34" s="5" t="s">
        <v>179</v>
      </c>
      <c r="R34" s="4" t="s">
        <v>111</v>
      </c>
      <c r="S34" s="4" t="s">
        <v>22</v>
      </c>
      <c r="T34" s="4">
        <v>0.5</v>
      </c>
    </row>
    <row r="35" spans="2:20" x14ac:dyDescent="0.3">
      <c r="B35" s="5" t="s">
        <v>207</v>
      </c>
      <c r="C35" s="4" t="s">
        <v>208</v>
      </c>
      <c r="D35" s="4" t="s">
        <v>22</v>
      </c>
      <c r="E35" s="4">
        <v>0.5</v>
      </c>
      <c r="G35" s="5" t="s">
        <v>81</v>
      </c>
      <c r="H35" s="4" t="s">
        <v>43</v>
      </c>
      <c r="I35" s="4" t="s">
        <v>22</v>
      </c>
      <c r="J35" s="4">
        <v>0.2</v>
      </c>
      <c r="Q35" s="5" t="s">
        <v>179</v>
      </c>
      <c r="R35" s="4" t="s">
        <v>107</v>
      </c>
      <c r="S35" s="4" t="s">
        <v>24</v>
      </c>
      <c r="T35" s="4">
        <v>4</v>
      </c>
    </row>
    <row r="36" spans="2:20" ht="27.6" x14ac:dyDescent="0.3">
      <c r="G36" s="5" t="s">
        <v>81</v>
      </c>
      <c r="H36" s="4" t="s">
        <v>36</v>
      </c>
      <c r="I36" s="4" t="s">
        <v>22</v>
      </c>
      <c r="J36" s="4">
        <v>0.1</v>
      </c>
      <c r="Q36" s="5" t="s">
        <v>179</v>
      </c>
      <c r="R36" s="4" t="s">
        <v>43</v>
      </c>
      <c r="S36" s="4" t="s">
        <v>22</v>
      </c>
      <c r="T36" s="4">
        <v>0.2</v>
      </c>
    </row>
    <row r="37" spans="2:20" x14ac:dyDescent="0.3">
      <c r="G37" s="5" t="s">
        <v>81</v>
      </c>
      <c r="H37" s="4" t="s">
        <v>35</v>
      </c>
      <c r="I37" s="4" t="s">
        <v>22</v>
      </c>
      <c r="J37" s="4">
        <v>0.15</v>
      </c>
      <c r="Q37" s="5" t="s">
        <v>189</v>
      </c>
      <c r="R37" s="4" t="s">
        <v>75</v>
      </c>
      <c r="S37" s="4" t="s">
        <v>24</v>
      </c>
      <c r="T37" s="4">
        <v>2</v>
      </c>
    </row>
    <row r="38" spans="2:20" ht="27.6" x14ac:dyDescent="0.3">
      <c r="G38" s="5" t="s">
        <v>87</v>
      </c>
      <c r="H38" s="4" t="s">
        <v>146</v>
      </c>
      <c r="I38" s="4" t="s">
        <v>67</v>
      </c>
      <c r="J38" s="4">
        <v>1</v>
      </c>
      <c r="Q38" s="5" t="s">
        <v>189</v>
      </c>
      <c r="R38" s="4" t="s">
        <v>70</v>
      </c>
      <c r="S38" s="4" t="s">
        <v>22</v>
      </c>
      <c r="T38" s="4">
        <v>0.1</v>
      </c>
    </row>
    <row r="39" spans="2:20" x14ac:dyDescent="0.3">
      <c r="G39" s="5" t="s">
        <v>87</v>
      </c>
      <c r="H39" s="4" t="s">
        <v>18</v>
      </c>
      <c r="I39" s="4" t="s">
        <v>22</v>
      </c>
      <c r="J39" s="4">
        <v>0.3</v>
      </c>
      <c r="Q39" s="5" t="s">
        <v>189</v>
      </c>
      <c r="R39" s="4" t="s">
        <v>194</v>
      </c>
      <c r="S39" s="4" t="s">
        <v>22</v>
      </c>
      <c r="T39" s="4">
        <v>0.1</v>
      </c>
    </row>
    <row r="40" spans="2:20" x14ac:dyDescent="0.3">
      <c r="G40" s="5" t="s">
        <v>88</v>
      </c>
      <c r="H40" s="4" t="s">
        <v>146</v>
      </c>
      <c r="I40" s="4" t="s">
        <v>67</v>
      </c>
      <c r="J40" s="4">
        <v>1</v>
      </c>
      <c r="Q40" s="5" t="s">
        <v>189</v>
      </c>
      <c r="R40" s="4" t="s">
        <v>107</v>
      </c>
      <c r="S40" s="4" t="s">
        <v>24</v>
      </c>
      <c r="T40" s="4">
        <v>1</v>
      </c>
    </row>
    <row r="41" spans="2:20" x14ac:dyDescent="0.3">
      <c r="G41" s="5" t="s">
        <v>88</v>
      </c>
      <c r="H41" s="4" t="s">
        <v>65</v>
      </c>
      <c r="I41" s="4" t="s">
        <v>22</v>
      </c>
      <c r="J41" s="4">
        <v>0.2</v>
      </c>
      <c r="Q41" s="5" t="s">
        <v>181</v>
      </c>
      <c r="R41" s="4" t="s">
        <v>182</v>
      </c>
      <c r="S41" s="4" t="s">
        <v>24</v>
      </c>
      <c r="T41" s="4">
        <v>6</v>
      </c>
    </row>
    <row r="42" spans="2:20" x14ac:dyDescent="0.3">
      <c r="G42" s="5" t="s">
        <v>88</v>
      </c>
      <c r="H42" s="4" t="s">
        <v>70</v>
      </c>
      <c r="I42" s="4" t="s">
        <v>22</v>
      </c>
      <c r="J42" s="4">
        <v>0.2</v>
      </c>
      <c r="Q42" s="5" t="s">
        <v>181</v>
      </c>
      <c r="R42" s="4" t="s">
        <v>183</v>
      </c>
      <c r="S42" s="4" t="s">
        <v>24</v>
      </c>
      <c r="T42" s="4">
        <v>6</v>
      </c>
    </row>
    <row r="43" spans="2:20" x14ac:dyDescent="0.3">
      <c r="G43" s="5" t="s">
        <v>90</v>
      </c>
      <c r="H43" s="4" t="s">
        <v>43</v>
      </c>
      <c r="I43" s="4" t="s">
        <v>22</v>
      </c>
      <c r="J43" s="4">
        <v>2</v>
      </c>
      <c r="Q43" s="5" t="s">
        <v>181</v>
      </c>
      <c r="R43" s="4" t="s">
        <v>69</v>
      </c>
      <c r="S43" s="4" t="s">
        <v>22</v>
      </c>
      <c r="T43" s="4">
        <v>0.2</v>
      </c>
    </row>
    <row r="44" spans="2:20" x14ac:dyDescent="0.3">
      <c r="G44" s="5" t="s">
        <v>90</v>
      </c>
      <c r="H44" s="4" t="s">
        <v>18</v>
      </c>
      <c r="I44" s="4" t="s">
        <v>22</v>
      </c>
      <c r="J44" s="4">
        <v>0.4</v>
      </c>
      <c r="Q44" s="5" t="s">
        <v>181</v>
      </c>
      <c r="R44" s="4" t="s">
        <v>178</v>
      </c>
      <c r="S44" s="4" t="s">
        <v>22</v>
      </c>
      <c r="T44" s="4">
        <v>0.2</v>
      </c>
    </row>
    <row r="45" spans="2:20" ht="27.6" x14ac:dyDescent="0.3">
      <c r="G45" s="5" t="s">
        <v>97</v>
      </c>
      <c r="H45" s="4" t="s">
        <v>43</v>
      </c>
      <c r="I45" s="4" t="s">
        <v>22</v>
      </c>
      <c r="J45" s="4">
        <v>2</v>
      </c>
      <c r="Q45" s="5" t="s">
        <v>181</v>
      </c>
      <c r="R45" s="4" t="s">
        <v>70</v>
      </c>
      <c r="S45" s="4" t="s">
        <v>22</v>
      </c>
      <c r="T45" s="4">
        <v>0.1</v>
      </c>
    </row>
    <row r="46" spans="2:20" x14ac:dyDescent="0.3">
      <c r="G46" s="5" t="s">
        <v>98</v>
      </c>
      <c r="H46" s="4" t="s">
        <v>111</v>
      </c>
      <c r="I46" s="4" t="s">
        <v>22</v>
      </c>
      <c r="J46" s="4">
        <v>1</v>
      </c>
      <c r="Q46" s="5" t="s">
        <v>181</v>
      </c>
      <c r="R46" s="4" t="s">
        <v>184</v>
      </c>
      <c r="S46" s="4" t="s">
        <v>24</v>
      </c>
      <c r="T46" s="4">
        <v>1</v>
      </c>
    </row>
    <row r="47" spans="2:20" x14ac:dyDescent="0.3">
      <c r="G47" s="5" t="s">
        <v>98</v>
      </c>
      <c r="H47" s="4" t="s">
        <v>175</v>
      </c>
      <c r="I47" s="4" t="s">
        <v>22</v>
      </c>
      <c r="J47" s="4">
        <v>0.2</v>
      </c>
    </row>
    <row r="48" spans="2:20" x14ac:dyDescent="0.3">
      <c r="G48" s="5" t="s">
        <v>98</v>
      </c>
      <c r="H48" s="4" t="s">
        <v>107</v>
      </c>
      <c r="I48" s="4" t="s">
        <v>24</v>
      </c>
      <c r="J48" s="4">
        <v>1</v>
      </c>
    </row>
    <row r="49" spans="7:10" x14ac:dyDescent="0.3">
      <c r="G49" s="5" t="s">
        <v>140</v>
      </c>
      <c r="H49" s="4" t="s">
        <v>65</v>
      </c>
      <c r="I49" s="4" t="s">
        <v>22</v>
      </c>
      <c r="J49" s="4">
        <v>0.2</v>
      </c>
    </row>
    <row r="50" spans="7:10" x14ac:dyDescent="0.3">
      <c r="G50" s="5" t="s">
        <v>140</v>
      </c>
      <c r="H50" s="4" t="s">
        <v>107</v>
      </c>
      <c r="I50" s="4" t="s">
        <v>24</v>
      </c>
      <c r="J50" s="4">
        <v>2</v>
      </c>
    </row>
    <row r="51" spans="7:10" x14ac:dyDescent="0.3">
      <c r="G51" s="5" t="s">
        <v>180</v>
      </c>
      <c r="H51" s="5" t="s">
        <v>180</v>
      </c>
      <c r="I51" s="4" t="s">
        <v>22</v>
      </c>
      <c r="J51" s="4">
        <v>0.25</v>
      </c>
    </row>
    <row r="52" spans="7:10" x14ac:dyDescent="0.3">
      <c r="G52" s="5" t="s">
        <v>181</v>
      </c>
      <c r="H52" s="4" t="s">
        <v>182</v>
      </c>
      <c r="I52" s="4" t="s">
        <v>24</v>
      </c>
      <c r="J52" s="4">
        <v>6</v>
      </c>
    </row>
    <row r="53" spans="7:10" x14ac:dyDescent="0.3">
      <c r="G53" s="5" t="s">
        <v>181</v>
      </c>
      <c r="H53" s="4" t="s">
        <v>183</v>
      </c>
      <c r="I53" s="4" t="s">
        <v>24</v>
      </c>
      <c r="J53" s="4">
        <v>6</v>
      </c>
    </row>
    <row r="54" spans="7:10" x14ac:dyDescent="0.3">
      <c r="G54" s="5" t="s">
        <v>181</v>
      </c>
      <c r="H54" s="4" t="s">
        <v>69</v>
      </c>
      <c r="I54" s="4" t="s">
        <v>22</v>
      </c>
      <c r="J54" s="4">
        <v>0.2</v>
      </c>
    </row>
    <row r="55" spans="7:10" x14ac:dyDescent="0.3">
      <c r="G55" s="5" t="s">
        <v>181</v>
      </c>
      <c r="H55" s="4" t="s">
        <v>178</v>
      </c>
      <c r="I55" s="4" t="s">
        <v>22</v>
      </c>
      <c r="J55" s="4">
        <v>0.2</v>
      </c>
    </row>
    <row r="56" spans="7:10" x14ac:dyDescent="0.3">
      <c r="G56" s="5" t="s">
        <v>181</v>
      </c>
      <c r="H56" s="4" t="s">
        <v>70</v>
      </c>
      <c r="I56" s="4" t="s">
        <v>22</v>
      </c>
      <c r="J56" s="4">
        <v>0.1</v>
      </c>
    </row>
    <row r="57" spans="7:10" x14ac:dyDescent="0.3">
      <c r="G57" s="5" t="s">
        <v>181</v>
      </c>
      <c r="H57" s="4" t="s">
        <v>184</v>
      </c>
      <c r="I57" s="4" t="s">
        <v>24</v>
      </c>
      <c r="J57" s="4">
        <v>1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701FD-1A51-4AEC-8C8C-EDC99B128C92}">
  <sheetPr codeName="Sheet7"/>
  <dimension ref="A1:K59"/>
  <sheetViews>
    <sheetView zoomScale="70" zoomScaleNormal="70" workbookViewId="0">
      <selection activeCell="I2" sqref="I2:I59"/>
    </sheetView>
  </sheetViews>
  <sheetFormatPr defaultRowHeight="15.6" x14ac:dyDescent="0.3"/>
  <cols>
    <col min="1" max="1" width="29.4140625" bestFit="1" customWidth="1"/>
    <col min="2" max="2" width="9.58203125" customWidth="1"/>
    <col min="3" max="3" width="24.6640625" bestFit="1" customWidth="1"/>
    <col min="5" max="5" width="36.5" bestFit="1" customWidth="1"/>
    <col min="7" max="7" width="35.1640625" bestFit="1" customWidth="1"/>
    <col min="9" max="9" width="36.5" bestFit="1" customWidth="1"/>
    <col min="11" max="11" width="27.58203125" bestFit="1" customWidth="1"/>
  </cols>
  <sheetData>
    <row r="1" spans="1:11" x14ac:dyDescent="0.3">
      <c r="A1" t="s">
        <v>91</v>
      </c>
      <c r="C1" t="s">
        <v>92</v>
      </c>
      <c r="E1" t="s">
        <v>93</v>
      </c>
      <c r="G1" t="s">
        <v>94</v>
      </c>
      <c r="I1" t="s">
        <v>130</v>
      </c>
      <c r="K1" t="s">
        <v>131</v>
      </c>
    </row>
    <row r="2" spans="1:11" x14ac:dyDescent="0.3">
      <c r="A2" t="s">
        <v>71</v>
      </c>
      <c r="C2" t="s">
        <v>17</v>
      </c>
      <c r="E2" t="s">
        <v>50</v>
      </c>
      <c r="G2" t="s">
        <v>30</v>
      </c>
      <c r="I2" t="s">
        <v>71</v>
      </c>
      <c r="K2" t="s">
        <v>132</v>
      </c>
    </row>
    <row r="3" spans="1:11" x14ac:dyDescent="0.3">
      <c r="A3" t="s">
        <v>72</v>
      </c>
      <c r="C3" t="s">
        <v>33</v>
      </c>
      <c r="E3" t="s">
        <v>54</v>
      </c>
      <c r="G3" t="s">
        <v>46</v>
      </c>
      <c r="I3" t="s">
        <v>72</v>
      </c>
      <c r="K3" t="s">
        <v>121</v>
      </c>
    </row>
    <row r="4" spans="1:11" x14ac:dyDescent="0.3">
      <c r="A4" t="s">
        <v>76</v>
      </c>
      <c r="C4" t="s">
        <v>41</v>
      </c>
      <c r="E4" t="s">
        <v>58</v>
      </c>
      <c r="G4" t="s">
        <v>96</v>
      </c>
      <c r="I4" t="s">
        <v>76</v>
      </c>
      <c r="K4" t="s">
        <v>113</v>
      </c>
    </row>
    <row r="5" spans="1:11" x14ac:dyDescent="0.3">
      <c r="A5" t="s">
        <v>78</v>
      </c>
      <c r="C5" t="s">
        <v>42</v>
      </c>
      <c r="E5" t="s">
        <v>89</v>
      </c>
      <c r="G5" t="s">
        <v>97</v>
      </c>
      <c r="I5" t="s">
        <v>78</v>
      </c>
      <c r="K5" t="s">
        <v>112</v>
      </c>
    </row>
    <row r="6" spans="1:11" x14ac:dyDescent="0.3">
      <c r="A6" t="s">
        <v>192</v>
      </c>
      <c r="C6" t="s">
        <v>63</v>
      </c>
      <c r="E6" t="s">
        <v>95</v>
      </c>
      <c r="G6" t="s">
        <v>103</v>
      </c>
      <c r="I6" t="s">
        <v>192</v>
      </c>
      <c r="K6" t="s">
        <v>120</v>
      </c>
    </row>
    <row r="7" spans="1:11" x14ac:dyDescent="0.3">
      <c r="A7" t="s">
        <v>86</v>
      </c>
      <c r="C7" t="s">
        <v>79</v>
      </c>
      <c r="E7" t="s">
        <v>99</v>
      </c>
      <c r="G7" t="s">
        <v>104</v>
      </c>
      <c r="I7" t="s">
        <v>86</v>
      </c>
      <c r="K7" t="s">
        <v>133</v>
      </c>
    </row>
    <row r="8" spans="1:11" x14ac:dyDescent="0.3">
      <c r="A8" t="s">
        <v>100</v>
      </c>
      <c r="C8" t="s">
        <v>81</v>
      </c>
      <c r="E8" t="s">
        <v>144</v>
      </c>
      <c r="G8" t="s">
        <v>105</v>
      </c>
      <c r="I8" t="s">
        <v>100</v>
      </c>
      <c r="K8" t="s">
        <v>114</v>
      </c>
    </row>
    <row r="9" spans="1:11" x14ac:dyDescent="0.3">
      <c r="A9" t="s">
        <v>140</v>
      </c>
      <c r="C9" t="s">
        <v>87</v>
      </c>
      <c r="E9" t="s">
        <v>177</v>
      </c>
      <c r="G9" t="s">
        <v>145</v>
      </c>
      <c r="I9" t="s">
        <v>140</v>
      </c>
      <c r="K9" t="s">
        <v>178</v>
      </c>
    </row>
    <row r="10" spans="1:11" x14ac:dyDescent="0.3">
      <c r="A10" t="s">
        <v>172</v>
      </c>
      <c r="C10" t="s">
        <v>88</v>
      </c>
      <c r="G10" t="s">
        <v>173</v>
      </c>
      <c r="I10" t="s">
        <v>172</v>
      </c>
      <c r="K10" t="s">
        <v>188</v>
      </c>
    </row>
    <row r="11" spans="1:11" x14ac:dyDescent="0.3">
      <c r="A11" t="s">
        <v>195</v>
      </c>
      <c r="C11" t="s">
        <v>90</v>
      </c>
      <c r="G11" t="s">
        <v>179</v>
      </c>
      <c r="I11" t="s">
        <v>195</v>
      </c>
      <c r="K11" t="s">
        <v>198</v>
      </c>
    </row>
    <row r="12" spans="1:11" x14ac:dyDescent="0.3">
      <c r="A12" t="s">
        <v>207</v>
      </c>
      <c r="C12" t="s">
        <v>97</v>
      </c>
      <c r="G12" t="s">
        <v>189</v>
      </c>
      <c r="I12" t="s">
        <v>207</v>
      </c>
      <c r="K12" t="s">
        <v>35</v>
      </c>
    </row>
    <row r="13" spans="1:11" x14ac:dyDescent="0.3">
      <c r="C13" t="s">
        <v>98</v>
      </c>
      <c r="G13" t="s">
        <v>181</v>
      </c>
      <c r="I13" t="s">
        <v>17</v>
      </c>
      <c r="K13" t="s">
        <v>200</v>
      </c>
    </row>
    <row r="14" spans="1:11" x14ac:dyDescent="0.3">
      <c r="C14" t="s">
        <v>140</v>
      </c>
      <c r="I14" t="s">
        <v>33</v>
      </c>
    </row>
    <row r="15" spans="1:11" x14ac:dyDescent="0.3">
      <c r="C15" t="s">
        <v>180</v>
      </c>
      <c r="I15" t="s">
        <v>41</v>
      </c>
    </row>
    <row r="16" spans="1:11" x14ac:dyDescent="0.3">
      <c r="C16" t="s">
        <v>181</v>
      </c>
      <c r="I16" t="s">
        <v>42</v>
      </c>
    </row>
    <row r="17" spans="9:9" x14ac:dyDescent="0.3">
      <c r="I17" t="s">
        <v>63</v>
      </c>
    </row>
    <row r="18" spans="9:9" x14ac:dyDescent="0.3">
      <c r="I18" t="s">
        <v>79</v>
      </c>
    </row>
    <row r="19" spans="9:9" x14ac:dyDescent="0.3">
      <c r="I19" t="s">
        <v>81</v>
      </c>
    </row>
    <row r="20" spans="9:9" x14ac:dyDescent="0.3">
      <c r="I20" t="s">
        <v>87</v>
      </c>
    </row>
    <row r="21" spans="9:9" x14ac:dyDescent="0.3">
      <c r="I21" t="s">
        <v>88</v>
      </c>
    </row>
    <row r="22" spans="9:9" x14ac:dyDescent="0.3">
      <c r="I22" t="s">
        <v>90</v>
      </c>
    </row>
    <row r="23" spans="9:9" x14ac:dyDescent="0.3">
      <c r="I23" t="s">
        <v>97</v>
      </c>
    </row>
    <row r="24" spans="9:9" x14ac:dyDescent="0.3">
      <c r="I24" t="s">
        <v>98</v>
      </c>
    </row>
    <row r="25" spans="9:9" x14ac:dyDescent="0.3">
      <c r="I25" t="s">
        <v>140</v>
      </c>
    </row>
    <row r="26" spans="9:9" x14ac:dyDescent="0.3">
      <c r="I26" t="s">
        <v>180</v>
      </c>
    </row>
    <row r="27" spans="9:9" x14ac:dyDescent="0.3">
      <c r="I27" t="s">
        <v>181</v>
      </c>
    </row>
    <row r="28" spans="9:9" x14ac:dyDescent="0.3">
      <c r="I28" t="s">
        <v>50</v>
      </c>
    </row>
    <row r="29" spans="9:9" x14ac:dyDescent="0.3">
      <c r="I29" t="s">
        <v>54</v>
      </c>
    </row>
    <row r="30" spans="9:9" x14ac:dyDescent="0.3">
      <c r="I30" t="s">
        <v>58</v>
      </c>
    </row>
    <row r="31" spans="9:9" x14ac:dyDescent="0.3">
      <c r="I31" t="s">
        <v>89</v>
      </c>
    </row>
    <row r="32" spans="9:9" x14ac:dyDescent="0.3">
      <c r="I32" t="s">
        <v>95</v>
      </c>
    </row>
    <row r="33" spans="9:9" x14ac:dyDescent="0.3">
      <c r="I33" t="s">
        <v>99</v>
      </c>
    </row>
    <row r="34" spans="9:9" x14ac:dyDescent="0.3">
      <c r="I34" t="s">
        <v>144</v>
      </c>
    </row>
    <row r="35" spans="9:9" x14ac:dyDescent="0.3">
      <c r="I35" t="s">
        <v>177</v>
      </c>
    </row>
    <row r="36" spans="9:9" x14ac:dyDescent="0.3">
      <c r="I36" t="s">
        <v>30</v>
      </c>
    </row>
    <row r="37" spans="9:9" x14ac:dyDescent="0.3">
      <c r="I37" t="s">
        <v>46</v>
      </c>
    </row>
    <row r="38" spans="9:9" x14ac:dyDescent="0.3">
      <c r="I38" t="s">
        <v>96</v>
      </c>
    </row>
    <row r="39" spans="9:9" x14ac:dyDescent="0.3">
      <c r="I39" t="s">
        <v>97</v>
      </c>
    </row>
    <row r="40" spans="9:9" x14ac:dyDescent="0.3">
      <c r="I40" t="s">
        <v>103</v>
      </c>
    </row>
    <row r="41" spans="9:9" x14ac:dyDescent="0.3">
      <c r="I41" t="s">
        <v>104</v>
      </c>
    </row>
    <row r="42" spans="9:9" x14ac:dyDescent="0.3">
      <c r="I42" t="s">
        <v>105</v>
      </c>
    </row>
    <row r="43" spans="9:9" x14ac:dyDescent="0.3">
      <c r="I43" t="s">
        <v>145</v>
      </c>
    </row>
    <row r="44" spans="9:9" x14ac:dyDescent="0.3">
      <c r="I44" t="s">
        <v>173</v>
      </c>
    </row>
    <row r="45" spans="9:9" x14ac:dyDescent="0.3">
      <c r="I45" t="s">
        <v>179</v>
      </c>
    </row>
    <row r="46" spans="9:9" x14ac:dyDescent="0.3">
      <c r="I46" t="s">
        <v>189</v>
      </c>
    </row>
    <row r="47" spans="9:9" x14ac:dyDescent="0.3">
      <c r="I47" t="s">
        <v>181</v>
      </c>
    </row>
    <row r="48" spans="9:9" x14ac:dyDescent="0.3">
      <c r="I48" t="s">
        <v>132</v>
      </c>
    </row>
    <row r="49" spans="9:9" x14ac:dyDescent="0.3">
      <c r="I49" t="s">
        <v>121</v>
      </c>
    </row>
    <row r="50" spans="9:9" x14ac:dyDescent="0.3">
      <c r="I50" t="s">
        <v>113</v>
      </c>
    </row>
    <row r="51" spans="9:9" x14ac:dyDescent="0.3">
      <c r="I51" t="s">
        <v>112</v>
      </c>
    </row>
    <row r="52" spans="9:9" x14ac:dyDescent="0.3">
      <c r="I52" t="s">
        <v>120</v>
      </c>
    </row>
    <row r="53" spans="9:9" x14ac:dyDescent="0.3">
      <c r="I53" t="s">
        <v>133</v>
      </c>
    </row>
    <row r="54" spans="9:9" x14ac:dyDescent="0.3">
      <c r="I54" t="s">
        <v>114</v>
      </c>
    </row>
    <row r="55" spans="9:9" x14ac:dyDescent="0.3">
      <c r="I55" t="s">
        <v>178</v>
      </c>
    </row>
    <row r="56" spans="9:9" x14ac:dyDescent="0.3">
      <c r="I56" t="s">
        <v>188</v>
      </c>
    </row>
    <row r="57" spans="9:9" x14ac:dyDescent="0.3">
      <c r="I57" t="s">
        <v>198</v>
      </c>
    </row>
    <row r="58" spans="9:9" x14ac:dyDescent="0.3">
      <c r="I58" t="s">
        <v>35</v>
      </c>
    </row>
    <row r="59" spans="9:9" x14ac:dyDescent="0.3">
      <c r="I59" t="s">
        <v>200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C8A62-D53E-490C-B27C-DEB6BCC8E99D}">
  <sheetPr codeName="Sheet8"/>
  <dimension ref="A1:F60"/>
  <sheetViews>
    <sheetView workbookViewId="0">
      <selection activeCell="B32" sqref="B32"/>
    </sheetView>
  </sheetViews>
  <sheetFormatPr defaultRowHeight="15.6" x14ac:dyDescent="0.3"/>
  <cols>
    <col min="1" max="1" width="21.5" bestFit="1" customWidth="1"/>
    <col min="2" max="2" width="77" bestFit="1" customWidth="1"/>
    <col min="3" max="3" width="18.75" bestFit="1" customWidth="1"/>
    <col min="4" max="4" width="10" bestFit="1" customWidth="1"/>
    <col min="5" max="5" width="7.33203125" bestFit="1" customWidth="1"/>
    <col min="6" max="6" width="10.58203125" bestFit="1" customWidth="1"/>
    <col min="7" max="7" width="10.6640625" bestFit="1" customWidth="1"/>
    <col min="8" max="8" width="7.9140625" bestFit="1" customWidth="1"/>
  </cols>
  <sheetData>
    <row r="1" spans="1:6" x14ac:dyDescent="0.3">
      <c r="A1" s="10" t="s">
        <v>153</v>
      </c>
      <c r="B1" s="10" t="s">
        <v>169</v>
      </c>
      <c r="C1" s="10" t="s">
        <v>170</v>
      </c>
      <c r="D1" s="10" t="s">
        <v>116</v>
      </c>
      <c r="E1" s="10" t="s">
        <v>127</v>
      </c>
      <c r="F1" s="10" t="s">
        <v>171</v>
      </c>
    </row>
    <row r="2" spans="1:6" x14ac:dyDescent="0.3">
      <c r="A2" s="10" t="s">
        <v>154</v>
      </c>
      <c r="B2" s="10" t="s">
        <v>69</v>
      </c>
      <c r="C2" s="10" t="s">
        <v>22</v>
      </c>
      <c r="D2" s="10">
        <v>0.89999999999999991</v>
      </c>
      <c r="E2" s="10">
        <v>400</v>
      </c>
      <c r="F2" s="10">
        <v>359.99999999999994</v>
      </c>
    </row>
    <row r="3" spans="1:6" x14ac:dyDescent="0.3">
      <c r="A3" s="10" t="s">
        <v>154</v>
      </c>
      <c r="B3" s="10" t="s">
        <v>65</v>
      </c>
      <c r="C3" s="10" t="s">
        <v>22</v>
      </c>
      <c r="D3" s="10">
        <v>0.4</v>
      </c>
      <c r="E3" s="10">
        <v>1500</v>
      </c>
      <c r="F3" s="10">
        <v>600</v>
      </c>
    </row>
    <row r="4" spans="1:6" x14ac:dyDescent="0.3">
      <c r="A4" s="10" t="s">
        <v>154</v>
      </c>
      <c r="B4" s="10" t="s">
        <v>37</v>
      </c>
      <c r="C4" s="10" t="s">
        <v>38</v>
      </c>
      <c r="D4" s="10">
        <v>3</v>
      </c>
      <c r="E4" s="10">
        <v>50</v>
      </c>
      <c r="F4" s="10">
        <v>150</v>
      </c>
    </row>
    <row r="5" spans="1:6" x14ac:dyDescent="0.3">
      <c r="A5" s="10" t="s">
        <v>154</v>
      </c>
      <c r="B5" s="10" t="s">
        <v>178</v>
      </c>
      <c r="C5" s="10" t="s">
        <v>22</v>
      </c>
      <c r="D5" s="10">
        <v>0.7</v>
      </c>
      <c r="E5" s="10">
        <v>650</v>
      </c>
      <c r="F5" s="10">
        <v>454.99999999999994</v>
      </c>
    </row>
    <row r="6" spans="1:6" x14ac:dyDescent="0.3">
      <c r="A6" s="10" t="s">
        <v>154</v>
      </c>
      <c r="B6" s="10" t="s">
        <v>36</v>
      </c>
      <c r="C6" s="10" t="s">
        <v>22</v>
      </c>
      <c r="D6" s="10">
        <v>0.4</v>
      </c>
      <c r="E6" s="10">
        <v>300</v>
      </c>
      <c r="F6" s="10">
        <v>120</v>
      </c>
    </row>
    <row r="7" spans="1:6" x14ac:dyDescent="0.3">
      <c r="A7" s="10" t="s">
        <v>154</v>
      </c>
      <c r="B7" s="10" t="s">
        <v>60</v>
      </c>
      <c r="C7" s="10" t="s">
        <v>22</v>
      </c>
      <c r="D7" s="10">
        <v>0.2</v>
      </c>
      <c r="E7" s="10">
        <v>2550</v>
      </c>
      <c r="F7" s="10">
        <v>510</v>
      </c>
    </row>
    <row r="8" spans="1:6" x14ac:dyDescent="0.3">
      <c r="A8" s="10" t="s">
        <v>154</v>
      </c>
      <c r="B8" s="10" t="s">
        <v>51</v>
      </c>
      <c r="C8" s="10" t="s">
        <v>22</v>
      </c>
      <c r="D8" s="10">
        <v>0.3</v>
      </c>
      <c r="E8" s="10">
        <v>250</v>
      </c>
      <c r="F8" s="10">
        <v>75</v>
      </c>
    </row>
    <row r="9" spans="1:6" x14ac:dyDescent="0.3">
      <c r="A9" s="10" t="s">
        <v>154</v>
      </c>
      <c r="B9" s="10" t="s">
        <v>55</v>
      </c>
      <c r="C9" s="10" t="s">
        <v>22</v>
      </c>
      <c r="D9" s="10">
        <v>0.3</v>
      </c>
      <c r="E9" s="10">
        <v>250</v>
      </c>
      <c r="F9" s="10">
        <v>75</v>
      </c>
    </row>
    <row r="10" spans="1:6" x14ac:dyDescent="0.3">
      <c r="A10" s="10" t="s">
        <v>154</v>
      </c>
      <c r="B10" s="10" t="s">
        <v>44</v>
      </c>
      <c r="C10" s="10" t="s">
        <v>22</v>
      </c>
      <c r="D10" s="10">
        <v>0.5</v>
      </c>
      <c r="E10" s="10">
        <v>500</v>
      </c>
      <c r="F10" s="10">
        <v>250</v>
      </c>
    </row>
    <row r="11" spans="1:6" x14ac:dyDescent="0.3">
      <c r="A11" s="10" t="s">
        <v>154</v>
      </c>
      <c r="B11" s="10" t="s">
        <v>45</v>
      </c>
      <c r="C11" s="10" t="s">
        <v>22</v>
      </c>
      <c r="D11" s="10">
        <v>0.5</v>
      </c>
      <c r="E11" s="10">
        <v>600</v>
      </c>
      <c r="F11" s="10">
        <v>300</v>
      </c>
    </row>
    <row r="12" spans="1:6" x14ac:dyDescent="0.3">
      <c r="A12" s="10" t="s">
        <v>154</v>
      </c>
      <c r="B12" s="10" t="s">
        <v>43</v>
      </c>
      <c r="C12" s="10" t="s">
        <v>22</v>
      </c>
      <c r="D12" s="10">
        <v>13.899999999999999</v>
      </c>
      <c r="E12" s="10">
        <v>180</v>
      </c>
      <c r="F12" s="10">
        <v>2501.9999999999995</v>
      </c>
    </row>
    <row r="13" spans="1:6" x14ac:dyDescent="0.3">
      <c r="A13" s="10" t="s">
        <v>154</v>
      </c>
      <c r="B13" s="10" t="s">
        <v>35</v>
      </c>
      <c r="C13" s="10" t="s">
        <v>22</v>
      </c>
      <c r="D13" s="10">
        <v>1.1499999999999999</v>
      </c>
      <c r="E13" s="10">
        <v>350</v>
      </c>
      <c r="F13" s="10">
        <v>402.49999999999994</v>
      </c>
    </row>
    <row r="14" spans="1:6" x14ac:dyDescent="0.3">
      <c r="A14" s="10" t="s">
        <v>166</v>
      </c>
      <c r="B14" s="10" t="s">
        <v>64</v>
      </c>
      <c r="C14" s="10" t="s">
        <v>22</v>
      </c>
      <c r="D14" s="10">
        <v>0.3</v>
      </c>
      <c r="E14" s="10">
        <v>1990</v>
      </c>
      <c r="F14" s="10">
        <v>597</v>
      </c>
    </row>
    <row r="15" spans="1:6" x14ac:dyDescent="0.3">
      <c r="A15" s="10" t="s">
        <v>166</v>
      </c>
      <c r="B15" s="10" t="s">
        <v>66</v>
      </c>
      <c r="C15" s="10" t="s">
        <v>22</v>
      </c>
      <c r="D15" s="10">
        <v>0.2</v>
      </c>
      <c r="E15" s="10">
        <v>3590</v>
      </c>
      <c r="F15" s="10">
        <v>718</v>
      </c>
    </row>
    <row r="16" spans="1:6" x14ac:dyDescent="0.3">
      <c r="A16" s="10" t="s">
        <v>167</v>
      </c>
      <c r="B16" s="10" t="s">
        <v>56</v>
      </c>
      <c r="C16" s="10" t="s">
        <v>24</v>
      </c>
      <c r="D16" s="10">
        <v>10</v>
      </c>
      <c r="E16" s="10">
        <v>10</v>
      </c>
      <c r="F16" s="10">
        <v>100</v>
      </c>
    </row>
    <row r="17" spans="1:6" x14ac:dyDescent="0.3">
      <c r="A17" s="10" t="s">
        <v>160</v>
      </c>
      <c r="B17" s="10" t="s">
        <v>62</v>
      </c>
      <c r="C17" s="10" t="s">
        <v>22</v>
      </c>
      <c r="D17" s="10">
        <v>0.2</v>
      </c>
      <c r="E17" s="10">
        <v>3900</v>
      </c>
      <c r="F17" s="10">
        <v>780</v>
      </c>
    </row>
    <row r="18" spans="1:6" x14ac:dyDescent="0.3">
      <c r="A18" s="10" t="s">
        <v>160</v>
      </c>
      <c r="B18" s="10" t="s">
        <v>111</v>
      </c>
      <c r="C18" s="10" t="s">
        <v>22</v>
      </c>
      <c r="D18" s="10">
        <v>1.5</v>
      </c>
      <c r="E18" s="10">
        <v>400</v>
      </c>
      <c r="F18" s="10">
        <v>600</v>
      </c>
    </row>
    <row r="19" spans="1:6" x14ac:dyDescent="0.3">
      <c r="A19" s="10" t="s">
        <v>160</v>
      </c>
      <c r="B19" s="10" t="s">
        <v>84</v>
      </c>
      <c r="C19" s="10" t="s">
        <v>85</v>
      </c>
      <c r="D19" s="10">
        <v>0.2</v>
      </c>
      <c r="E19" s="10">
        <v>550</v>
      </c>
      <c r="F19" s="10">
        <v>110</v>
      </c>
    </row>
    <row r="20" spans="1:6" x14ac:dyDescent="0.3">
      <c r="A20" s="10" t="s">
        <v>160</v>
      </c>
      <c r="B20" s="10" t="s">
        <v>74</v>
      </c>
      <c r="C20" s="10" t="s">
        <v>22</v>
      </c>
      <c r="D20" s="10">
        <v>0.1</v>
      </c>
      <c r="E20" s="10">
        <v>6250</v>
      </c>
      <c r="F20" s="10">
        <v>625</v>
      </c>
    </row>
    <row r="21" spans="1:6" x14ac:dyDescent="0.3">
      <c r="A21" s="10" t="s">
        <v>160</v>
      </c>
      <c r="B21" s="10" t="s">
        <v>77</v>
      </c>
      <c r="C21" s="10" t="s">
        <v>67</v>
      </c>
      <c r="D21" s="10">
        <v>0.5</v>
      </c>
      <c r="E21" s="10">
        <v>600</v>
      </c>
      <c r="F21" s="10">
        <v>300</v>
      </c>
    </row>
    <row r="22" spans="1:6" x14ac:dyDescent="0.3">
      <c r="A22" s="10" t="s">
        <v>160</v>
      </c>
      <c r="B22" s="10" t="s">
        <v>70</v>
      </c>
      <c r="C22" s="10" t="s">
        <v>22</v>
      </c>
      <c r="D22" s="10">
        <v>0.9</v>
      </c>
      <c r="E22" s="10">
        <v>2950</v>
      </c>
      <c r="F22" s="10">
        <v>2655</v>
      </c>
    </row>
    <row r="23" spans="1:6" x14ac:dyDescent="0.3">
      <c r="A23" s="10" t="s">
        <v>160</v>
      </c>
      <c r="B23" s="10" t="s">
        <v>47</v>
      </c>
      <c r="C23" s="10" t="s">
        <v>67</v>
      </c>
      <c r="D23" s="10">
        <v>0.4</v>
      </c>
      <c r="E23" s="10">
        <v>710</v>
      </c>
      <c r="F23" s="10">
        <v>284</v>
      </c>
    </row>
    <row r="24" spans="1:6" x14ac:dyDescent="0.3">
      <c r="A24" s="10" t="s">
        <v>160</v>
      </c>
      <c r="B24" s="10" t="s">
        <v>107</v>
      </c>
      <c r="C24" s="10" t="s">
        <v>24</v>
      </c>
      <c r="D24" s="10">
        <v>29</v>
      </c>
      <c r="E24" s="10">
        <v>70</v>
      </c>
      <c r="F24" s="10">
        <v>2030</v>
      </c>
    </row>
    <row r="25" spans="1:6" x14ac:dyDescent="0.3">
      <c r="A25" s="10" t="s">
        <v>160</v>
      </c>
      <c r="B25" s="10" t="s">
        <v>73</v>
      </c>
      <c r="C25" s="10" t="s">
        <v>22</v>
      </c>
      <c r="D25" s="10">
        <v>0.1</v>
      </c>
      <c r="E25" s="10">
        <v>1540</v>
      </c>
      <c r="F25" s="10">
        <v>154</v>
      </c>
    </row>
    <row r="26" spans="1:6" x14ac:dyDescent="0.3">
      <c r="A26" s="10" t="s">
        <v>165</v>
      </c>
      <c r="B26" s="10" t="s">
        <v>52</v>
      </c>
      <c r="C26" s="10" t="s">
        <v>53</v>
      </c>
      <c r="D26" s="10">
        <v>0.30000000000000004</v>
      </c>
      <c r="E26" s="10">
        <v>250</v>
      </c>
      <c r="F26" s="10">
        <v>75.000000000000014</v>
      </c>
    </row>
    <row r="27" spans="1:6" x14ac:dyDescent="0.3">
      <c r="A27" s="10" t="s">
        <v>165</v>
      </c>
      <c r="B27" s="10" t="s">
        <v>61</v>
      </c>
      <c r="C27" s="10" t="s">
        <v>53</v>
      </c>
      <c r="D27" s="10">
        <v>1</v>
      </c>
      <c r="E27" s="10">
        <v>400</v>
      </c>
      <c r="F27" s="10">
        <v>400</v>
      </c>
    </row>
    <row r="28" spans="1:6" x14ac:dyDescent="0.3">
      <c r="A28" s="10" t="s">
        <v>157</v>
      </c>
      <c r="B28" s="10" t="s">
        <v>142</v>
      </c>
      <c r="C28" s="10" t="s">
        <v>24</v>
      </c>
      <c r="D28" s="10">
        <v>2</v>
      </c>
      <c r="E28" s="10">
        <v>120</v>
      </c>
      <c r="F28" s="10">
        <v>240</v>
      </c>
    </row>
    <row r="29" spans="1:6" x14ac:dyDescent="0.3">
      <c r="A29" s="10" t="s">
        <v>157</v>
      </c>
      <c r="B29" s="10" t="s">
        <v>141</v>
      </c>
      <c r="C29" s="10" t="s">
        <v>24</v>
      </c>
      <c r="D29" s="10">
        <v>5</v>
      </c>
      <c r="E29" s="10">
        <v>210</v>
      </c>
      <c r="F29" s="10">
        <v>1050</v>
      </c>
    </row>
    <row r="30" spans="1:6" x14ac:dyDescent="0.3">
      <c r="A30" s="10" t="s">
        <v>157</v>
      </c>
      <c r="B30" s="10" t="s">
        <v>174</v>
      </c>
      <c r="C30" s="10" t="s">
        <v>24</v>
      </c>
      <c r="D30" s="10">
        <v>3</v>
      </c>
      <c r="E30" s="10">
        <v>300</v>
      </c>
      <c r="F30" s="10">
        <v>900</v>
      </c>
    </row>
    <row r="31" spans="1:6" x14ac:dyDescent="0.3">
      <c r="A31" s="10" t="s">
        <v>157</v>
      </c>
      <c r="B31" s="10" t="s">
        <v>59</v>
      </c>
      <c r="C31" s="10" t="s">
        <v>24</v>
      </c>
      <c r="D31" s="10">
        <v>1</v>
      </c>
      <c r="E31" s="10">
        <v>90</v>
      </c>
      <c r="F31" s="10">
        <v>90</v>
      </c>
    </row>
    <row r="32" spans="1:6" x14ac:dyDescent="0.3">
      <c r="A32" s="10" t="s">
        <v>157</v>
      </c>
      <c r="B32" s="10" t="s">
        <v>75</v>
      </c>
      <c r="C32" s="10" t="s">
        <v>24</v>
      </c>
      <c r="D32" s="10">
        <v>6</v>
      </c>
      <c r="E32" s="10">
        <v>230</v>
      </c>
      <c r="F32" s="10">
        <v>1380</v>
      </c>
    </row>
    <row r="33" spans="1:6" x14ac:dyDescent="0.3">
      <c r="A33" s="10" t="s">
        <v>159</v>
      </c>
      <c r="B33" s="10" t="s">
        <v>80</v>
      </c>
      <c r="C33" s="10" t="s">
        <v>22</v>
      </c>
      <c r="D33" s="10">
        <v>0.4</v>
      </c>
      <c r="E33" s="10">
        <v>3300</v>
      </c>
      <c r="F33" s="10">
        <v>1320</v>
      </c>
    </row>
    <row r="34" spans="1:6" x14ac:dyDescent="0.3">
      <c r="A34" s="10" t="s">
        <v>159</v>
      </c>
      <c r="B34" s="10" t="s">
        <v>18</v>
      </c>
      <c r="C34" s="10" t="s">
        <v>22</v>
      </c>
      <c r="D34" s="10">
        <v>0.89999999999999991</v>
      </c>
      <c r="E34" s="10">
        <v>4500</v>
      </c>
      <c r="F34" s="10">
        <v>4049.9999999999995</v>
      </c>
    </row>
    <row r="35" spans="1:6" x14ac:dyDescent="0.3">
      <c r="A35" s="10" t="s">
        <v>159</v>
      </c>
      <c r="B35" s="10" t="s">
        <v>39</v>
      </c>
      <c r="C35" s="10" t="s">
        <v>22</v>
      </c>
      <c r="D35" s="10">
        <v>1.7</v>
      </c>
      <c r="E35" s="10">
        <v>1400</v>
      </c>
      <c r="F35" s="10">
        <v>2380</v>
      </c>
    </row>
    <row r="36" spans="1:6" x14ac:dyDescent="0.3">
      <c r="A36" s="10" t="s">
        <v>155</v>
      </c>
      <c r="B36" s="10" t="s">
        <v>49</v>
      </c>
      <c r="C36" s="10" t="s">
        <v>24</v>
      </c>
      <c r="D36" s="10">
        <v>0.25</v>
      </c>
      <c r="E36" s="10">
        <v>150</v>
      </c>
      <c r="F36" s="10">
        <v>37.5</v>
      </c>
    </row>
    <row r="37" spans="1:6" x14ac:dyDescent="0.3">
      <c r="A37" s="10" t="s">
        <v>155</v>
      </c>
      <c r="B37" s="10" t="s">
        <v>57</v>
      </c>
      <c r="C37" s="10" t="s">
        <v>24</v>
      </c>
      <c r="D37" s="10">
        <v>0.2</v>
      </c>
      <c r="E37" s="10">
        <v>1000</v>
      </c>
      <c r="F37" s="10">
        <v>200</v>
      </c>
    </row>
    <row r="38" spans="1:6" x14ac:dyDescent="0.3">
      <c r="A38" s="10" t="s">
        <v>156</v>
      </c>
      <c r="B38" s="10" t="s">
        <v>175</v>
      </c>
      <c r="C38" s="10" t="s">
        <v>22</v>
      </c>
      <c r="D38" s="10">
        <v>0.2</v>
      </c>
      <c r="E38" s="10">
        <v>500</v>
      </c>
      <c r="F38" s="10">
        <v>100</v>
      </c>
    </row>
    <row r="39" spans="1:6" x14ac:dyDescent="0.3">
      <c r="A39" s="10" t="s">
        <v>156</v>
      </c>
      <c r="B39" s="10" t="s">
        <v>83</v>
      </c>
      <c r="C39" s="10" t="s">
        <v>22</v>
      </c>
      <c r="D39" s="10">
        <v>0.1</v>
      </c>
      <c r="E39" s="10">
        <v>1200</v>
      </c>
      <c r="F39" s="10">
        <v>120</v>
      </c>
    </row>
    <row r="40" spans="1:6" x14ac:dyDescent="0.3">
      <c r="A40" s="10" t="s">
        <v>156</v>
      </c>
      <c r="B40" s="10" t="s">
        <v>146</v>
      </c>
      <c r="C40" s="10" t="s">
        <v>67</v>
      </c>
      <c r="D40" s="10">
        <v>1</v>
      </c>
      <c r="E40" s="10">
        <v>700</v>
      </c>
      <c r="F40" s="10">
        <v>700</v>
      </c>
    </row>
    <row r="41" spans="1:6" x14ac:dyDescent="0.3">
      <c r="A41" s="10" t="s">
        <v>156</v>
      </c>
      <c r="B41" s="10" t="s">
        <v>193</v>
      </c>
      <c r="C41" s="10" t="s">
        <v>22</v>
      </c>
      <c r="D41" s="10">
        <v>0.05</v>
      </c>
      <c r="E41" s="10">
        <v>1650</v>
      </c>
      <c r="F41" s="10">
        <v>82.5</v>
      </c>
    </row>
    <row r="42" spans="1:6" x14ac:dyDescent="0.3">
      <c r="A42" s="10" t="s">
        <v>156</v>
      </c>
      <c r="B42" s="10" t="s">
        <v>82</v>
      </c>
      <c r="C42" s="10" t="s">
        <v>22</v>
      </c>
      <c r="D42" s="10">
        <v>0.2</v>
      </c>
      <c r="E42" s="10">
        <v>1000</v>
      </c>
      <c r="F42" s="10">
        <v>200</v>
      </c>
    </row>
    <row r="43" spans="1:6" x14ac:dyDescent="0.3">
      <c r="A43" s="10" t="s">
        <v>156</v>
      </c>
      <c r="B43" s="10" t="s">
        <v>34</v>
      </c>
      <c r="C43" s="10" t="s">
        <v>22</v>
      </c>
      <c r="D43" s="10">
        <v>0.25</v>
      </c>
      <c r="E43" s="10">
        <v>740</v>
      </c>
      <c r="F43" s="10">
        <v>185</v>
      </c>
    </row>
    <row r="44" spans="1:6" x14ac:dyDescent="0.3">
      <c r="A44" s="10" t="s">
        <v>156</v>
      </c>
      <c r="B44" s="10" t="s">
        <v>40</v>
      </c>
      <c r="C44" s="10" t="s">
        <v>22</v>
      </c>
      <c r="D44" s="10">
        <v>0.1</v>
      </c>
      <c r="E44" s="10">
        <v>700</v>
      </c>
      <c r="F44" s="10">
        <v>70</v>
      </c>
    </row>
    <row r="45" spans="1:6" x14ac:dyDescent="0.3">
      <c r="A45" s="10" t="s">
        <v>161</v>
      </c>
      <c r="B45" s="10" t="s">
        <v>68</v>
      </c>
      <c r="C45" s="10" t="s">
        <v>67</v>
      </c>
      <c r="D45" s="10">
        <v>1</v>
      </c>
      <c r="E45" s="10">
        <v>600</v>
      </c>
      <c r="F45" s="10">
        <v>600</v>
      </c>
    </row>
    <row r="46" spans="1:6" x14ac:dyDescent="0.3">
      <c r="A46" s="10" t="s">
        <v>161</v>
      </c>
      <c r="B46" s="10" t="s">
        <v>32</v>
      </c>
      <c r="C46" s="10" t="s">
        <v>67</v>
      </c>
      <c r="D46" s="10">
        <v>0.1</v>
      </c>
      <c r="E46" s="10">
        <v>610</v>
      </c>
      <c r="F46" s="10">
        <v>61</v>
      </c>
    </row>
    <row r="47" spans="1:6" x14ac:dyDescent="0.3">
      <c r="A47" s="10" t="s">
        <v>161</v>
      </c>
      <c r="B47" s="10" t="s">
        <v>108</v>
      </c>
      <c r="C47" s="10" t="s">
        <v>67</v>
      </c>
      <c r="D47" s="10">
        <v>1</v>
      </c>
      <c r="E47" s="10">
        <v>250</v>
      </c>
      <c r="F47" s="10">
        <v>250</v>
      </c>
    </row>
    <row r="48" spans="1:6" x14ac:dyDescent="0.3">
      <c r="A48" s="10" t="s">
        <v>158</v>
      </c>
      <c r="B48" s="10" t="s">
        <v>144</v>
      </c>
      <c r="C48" s="10" t="s">
        <v>67</v>
      </c>
      <c r="D48" s="10">
        <v>1</v>
      </c>
      <c r="E48" s="10">
        <v>450</v>
      </c>
      <c r="F48" s="10">
        <v>450</v>
      </c>
    </row>
    <row r="49" spans="1:6" x14ac:dyDescent="0.3">
      <c r="A49" s="10" t="s">
        <v>158</v>
      </c>
      <c r="B49" s="10" t="s">
        <v>89</v>
      </c>
      <c r="C49" s="10" t="s">
        <v>67</v>
      </c>
      <c r="D49" s="10">
        <v>1</v>
      </c>
      <c r="E49" s="10">
        <v>700</v>
      </c>
      <c r="F49" s="10">
        <v>700</v>
      </c>
    </row>
    <row r="50" spans="1:6" x14ac:dyDescent="0.3">
      <c r="A50" s="10"/>
      <c r="B50" s="10" t="s">
        <v>205</v>
      </c>
      <c r="C50" s="10"/>
      <c r="D50" s="10"/>
      <c r="E50" s="10"/>
      <c r="F50" s="10"/>
    </row>
    <row r="51" spans="1:6" x14ac:dyDescent="0.3">
      <c r="A51" s="10"/>
      <c r="B51" s="10" t="s">
        <v>206</v>
      </c>
      <c r="C51" s="10"/>
      <c r="D51" s="10"/>
      <c r="E51" s="10"/>
      <c r="F51" s="10"/>
    </row>
    <row r="52" spans="1:6" x14ac:dyDescent="0.3">
      <c r="A52" s="10"/>
      <c r="B52" s="10" t="s">
        <v>190</v>
      </c>
      <c r="C52" s="10"/>
      <c r="D52" s="10"/>
      <c r="E52" s="10"/>
      <c r="F52" s="10"/>
    </row>
    <row r="53" spans="1:6" x14ac:dyDescent="0.3">
      <c r="A53" s="10"/>
      <c r="B53" s="10" t="s">
        <v>191</v>
      </c>
      <c r="C53" s="10"/>
      <c r="D53" s="10"/>
      <c r="E53" s="10"/>
      <c r="F53" s="10"/>
    </row>
    <row r="54" spans="1:6" x14ac:dyDescent="0.3">
      <c r="A54" s="10"/>
      <c r="B54" s="10" t="s">
        <v>194</v>
      </c>
      <c r="C54" s="10" t="s">
        <v>22</v>
      </c>
      <c r="D54" s="10">
        <v>0.1</v>
      </c>
      <c r="E54" s="10"/>
      <c r="F54" s="10"/>
    </row>
    <row r="55" spans="1:6" x14ac:dyDescent="0.3">
      <c r="A55" s="10"/>
      <c r="B55" s="10" t="s">
        <v>32</v>
      </c>
      <c r="C55" s="10" t="s">
        <v>25</v>
      </c>
      <c r="D55" s="10">
        <v>2</v>
      </c>
      <c r="E55" s="10"/>
      <c r="F55" s="10"/>
    </row>
    <row r="56" spans="1:6" x14ac:dyDescent="0.3">
      <c r="A56" s="10"/>
      <c r="B56" s="10" t="s">
        <v>31</v>
      </c>
      <c r="C56" s="10" t="s">
        <v>22</v>
      </c>
      <c r="D56" s="10">
        <v>0.6</v>
      </c>
      <c r="E56" s="10"/>
      <c r="F56" s="10"/>
    </row>
    <row r="57" spans="1:6" x14ac:dyDescent="0.3">
      <c r="A57" s="10"/>
      <c r="B57" s="10" t="s">
        <v>184</v>
      </c>
      <c r="C57" s="10" t="s">
        <v>24</v>
      </c>
      <c r="D57" s="10">
        <v>2</v>
      </c>
      <c r="E57" s="10"/>
      <c r="F57" s="10"/>
    </row>
    <row r="58" spans="1:6" x14ac:dyDescent="0.3">
      <c r="A58" s="10"/>
      <c r="B58" s="10" t="s">
        <v>183</v>
      </c>
      <c r="C58" s="10" t="s">
        <v>24</v>
      </c>
      <c r="D58" s="10">
        <v>12</v>
      </c>
      <c r="E58" s="10"/>
      <c r="F58" s="10"/>
    </row>
    <row r="59" spans="1:6" x14ac:dyDescent="0.3">
      <c r="A59" s="10"/>
      <c r="B59" s="10" t="s">
        <v>182</v>
      </c>
      <c r="C59" s="10" t="s">
        <v>24</v>
      </c>
      <c r="D59" s="10">
        <v>12</v>
      </c>
      <c r="E59" s="10"/>
      <c r="F59" s="10"/>
    </row>
    <row r="60" spans="1:6" x14ac:dyDescent="0.3">
      <c r="A60" s="10"/>
      <c r="B60" s="10"/>
      <c r="C60" s="10"/>
      <c r="D60" s="10"/>
      <c r="E60" s="10"/>
      <c r="F60" s="10">
        <f>SUBTOTAL(109,Անհրաժեշտ_բաղադրիչների_ցանկ_և_գներ8[Գումար])</f>
        <v>30393.5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CEFF5-070B-43F7-B5CC-25AF758697D7}">
  <sheetPr codeName="Sheet9"/>
  <dimension ref="A4:E14"/>
  <sheetViews>
    <sheetView workbookViewId="0">
      <selection activeCell="B10" sqref="B10"/>
    </sheetView>
  </sheetViews>
  <sheetFormatPr defaultRowHeight="15.6" x14ac:dyDescent="0.3"/>
  <cols>
    <col min="1" max="1" width="18.33203125" bestFit="1" customWidth="1"/>
    <col min="2" max="2" width="29.5" customWidth="1"/>
    <col min="3" max="3" width="28.1640625" customWidth="1"/>
    <col min="5" max="5" width="15.75" customWidth="1"/>
  </cols>
  <sheetData>
    <row r="4" spans="1:5" x14ac:dyDescent="0.3">
      <c r="A4" s="13" t="s">
        <v>224</v>
      </c>
      <c r="B4" t="str">
        <f>_xlfn.TRANSLATE(A4,"en","hy")</f>
        <v>Նախաճաշ</v>
      </c>
      <c r="C4" t="str">
        <f>_xlfn.TRANSLATE(A4,"en","ru")</f>
        <v>завтрак</v>
      </c>
      <c r="E4" s="13" t="s">
        <v>224</v>
      </c>
    </row>
    <row r="5" spans="1:5" x14ac:dyDescent="0.3">
      <c r="A5" s="13" t="s">
        <v>225</v>
      </c>
      <c r="B5" t="str">
        <f t="shared" ref="B5:B14" si="0">_xlfn.TRANSLATE(A5,"en","hy")</f>
        <v>Ճաշ</v>
      </c>
      <c r="C5" t="str">
        <f t="shared" ref="C5:C13" si="1">_xlfn.TRANSLATE(A5,"en","ru")</f>
        <v>обед</v>
      </c>
      <c r="E5" s="13" t="s">
        <v>225</v>
      </c>
    </row>
    <row r="6" spans="1:5" x14ac:dyDescent="0.3">
      <c r="A6" s="13" t="s">
        <v>226</v>
      </c>
      <c r="B6" t="str">
        <f t="shared" si="0"/>
        <v>Ընթրիք</v>
      </c>
      <c r="C6" t="str">
        <f t="shared" si="1"/>
        <v>ужин</v>
      </c>
      <c r="E6" s="13" t="s">
        <v>226</v>
      </c>
    </row>
    <row r="7" spans="1:5" x14ac:dyDescent="0.3">
      <c r="A7" s="13" t="s">
        <v>227</v>
      </c>
      <c r="B7" t="str">
        <f t="shared" si="0"/>
        <v>Աղցան</v>
      </c>
      <c r="C7" t="str">
        <f t="shared" si="1"/>
        <v>Салат</v>
      </c>
      <c r="E7" s="13" t="s">
        <v>227</v>
      </c>
    </row>
    <row r="8" spans="1:5" x14ac:dyDescent="0.3">
      <c r="A8" t="s">
        <v>228</v>
      </c>
      <c r="B8" t="s">
        <v>238</v>
      </c>
      <c r="C8" t="s">
        <v>236</v>
      </c>
      <c r="E8" t="s">
        <v>228</v>
      </c>
    </row>
    <row r="9" spans="1:5" x14ac:dyDescent="0.3">
      <c r="A9" t="s">
        <v>229</v>
      </c>
      <c r="B9" t="s">
        <v>239</v>
      </c>
      <c r="C9" t="s">
        <v>237</v>
      </c>
      <c r="E9" t="s">
        <v>229</v>
      </c>
    </row>
    <row r="10" spans="1:5" x14ac:dyDescent="0.3">
      <c r="A10" t="s">
        <v>230</v>
      </c>
      <c r="B10" t="str">
        <f t="shared" si="0"/>
        <v>ապուր</v>
      </c>
      <c r="C10" t="str">
        <f t="shared" si="1"/>
        <v>суп</v>
      </c>
      <c r="E10" t="s">
        <v>230</v>
      </c>
    </row>
    <row r="11" spans="1:5" x14ac:dyDescent="0.3">
      <c r="A11" t="s">
        <v>231</v>
      </c>
      <c r="B11" t="str">
        <f t="shared" si="0"/>
        <v>քաղցրավենիք</v>
      </c>
      <c r="C11" t="str">
        <f t="shared" si="1"/>
        <v>Десерт</v>
      </c>
      <c r="E11" t="s">
        <v>231</v>
      </c>
    </row>
    <row r="12" spans="1:5" x14ac:dyDescent="0.3">
      <c r="A12" t="s">
        <v>232</v>
      </c>
      <c r="B12" t="str">
        <f t="shared" si="0"/>
        <v>սոուս</v>
      </c>
      <c r="C12" t="str">
        <f t="shared" si="1"/>
        <v>соус</v>
      </c>
      <c r="E12" t="s">
        <v>232</v>
      </c>
    </row>
    <row r="13" spans="1:5" x14ac:dyDescent="0.3">
      <c r="A13" t="s">
        <v>233</v>
      </c>
      <c r="B13" t="str">
        <f t="shared" si="0"/>
        <v>խորտիկ</v>
      </c>
      <c r="C13" t="str">
        <f t="shared" si="1"/>
        <v>Перекус</v>
      </c>
      <c r="E13" t="s">
        <v>233</v>
      </c>
    </row>
    <row r="14" spans="1:5" x14ac:dyDescent="0.3">
      <c r="A14" t="s">
        <v>234</v>
      </c>
      <c r="B14" t="str">
        <f t="shared" si="0"/>
        <v>Խմիչք</v>
      </c>
      <c r="C14" t="s">
        <v>235</v>
      </c>
      <c r="E14" t="s">
        <v>234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7D7D5B-EFFC-4BFE-AD2D-C0E3DBE0A72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2.xml><?xml version="1.0" encoding="utf-8"?>
<ds:datastoreItem xmlns:ds="http://schemas.openxmlformats.org/officeDocument/2006/customXml" ds:itemID="{1B89B77B-11D2-43FE-A1AF-1524DCF2FC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DBF770-2D4C-4E92-B3A1-6781E2302E7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DE4692D4-8F00-4589-9561-6F1BD75135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TM16400197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Կայքի պարունակություն </vt:lpstr>
      <vt:lpstr>Weekly Meal Planner</vt:lpstr>
      <vt:lpstr>Անհրաժեշտ բաղադրիչների ցանկ և գ</vt:lpstr>
      <vt:lpstr>Կոմբո</vt:lpstr>
      <vt:lpstr>Գներ</vt:lpstr>
      <vt:lpstr>ուտեստների_բաղադրություն</vt:lpstr>
      <vt:lpstr>ցանկ</vt:lpstr>
      <vt:lpstr>Sheet1</vt:lpstr>
      <vt:lpstr>Sheet3</vt:lpstr>
      <vt:lpstr>'Weekly Meal Planner'!Print_Titles</vt:lpstr>
      <vt:lpstr>Title1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2022-11-09T08:05:40Z</dcterms:created>
  <dcterms:modified xsi:type="dcterms:W3CDTF">2026-07-27T15:08:52Z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